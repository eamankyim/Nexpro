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9FD18913F2266C/Desktop/JOSFAA ENT FOLDER/"/>
    </mc:Choice>
  </mc:AlternateContent>
  <xr:revisionPtr revIDLastSave="0" documentId="8_{502278D0-CDEE-4B84-ACB6-76F965FAF26C}" xr6:coauthVersionLast="47" xr6:coauthVersionMax="47" xr10:uidLastSave="{00000000-0000-0000-0000-000000000000}"/>
  <bookViews>
    <workbookView xWindow="-108" yWindow="-108" windowWidth="23256" windowHeight="12456" xr2:uid="{7A75EC68-04AE-4478-BFBE-C3BCDA7060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8" i="1" l="1"/>
  <c r="H148" i="1" s="1"/>
  <c r="H147" i="1"/>
  <c r="G147" i="1"/>
  <c r="H146" i="1"/>
  <c r="G146" i="1"/>
  <c r="G145" i="1"/>
  <c r="H145" i="1" s="1"/>
  <c r="H144" i="1"/>
  <c r="G144" i="1"/>
  <c r="G143" i="1"/>
  <c r="H143" i="1" s="1"/>
  <c r="G142" i="1"/>
  <c r="H142" i="1" s="1"/>
  <c r="G141" i="1"/>
  <c r="H141" i="1" s="1"/>
  <c r="G140" i="1"/>
  <c r="H140" i="1" s="1"/>
  <c r="G139" i="1"/>
  <c r="H139" i="1" s="1"/>
  <c r="H138" i="1"/>
  <c r="G138" i="1"/>
  <c r="G137" i="1"/>
  <c r="H137" i="1" s="1"/>
  <c r="H136" i="1"/>
  <c r="G136" i="1"/>
  <c r="G135" i="1"/>
  <c r="H135" i="1" s="1"/>
  <c r="G134" i="1"/>
  <c r="H134" i="1" s="1"/>
  <c r="G133" i="1"/>
  <c r="H133" i="1" s="1"/>
  <c r="G132" i="1"/>
  <c r="H132" i="1" s="1"/>
  <c r="G131" i="1"/>
  <c r="H131" i="1" s="1"/>
  <c r="H130" i="1"/>
  <c r="G130" i="1"/>
  <c r="G129" i="1"/>
  <c r="H129" i="1" s="1"/>
  <c r="H128" i="1"/>
  <c r="G128" i="1"/>
  <c r="G127" i="1"/>
  <c r="H127" i="1" s="1"/>
  <c r="G126" i="1"/>
  <c r="H126" i="1" s="1"/>
  <c r="G125" i="1"/>
  <c r="H125" i="1" s="1"/>
  <c r="G124" i="1"/>
  <c r="H124" i="1" s="1"/>
  <c r="G123" i="1"/>
  <c r="H123" i="1" s="1"/>
  <c r="H122" i="1"/>
  <c r="G122" i="1"/>
  <c r="G121" i="1"/>
  <c r="H121" i="1" s="1"/>
  <c r="H120" i="1"/>
  <c r="G120" i="1"/>
  <c r="G119" i="1"/>
  <c r="H119" i="1" s="1"/>
  <c r="G118" i="1"/>
  <c r="H118" i="1" s="1"/>
  <c r="G117" i="1"/>
  <c r="H117" i="1" s="1"/>
  <c r="G116" i="1"/>
  <c r="H116" i="1" s="1"/>
  <c r="G115" i="1"/>
  <c r="H115" i="1" s="1"/>
  <c r="H114" i="1"/>
  <c r="G114" i="1"/>
  <c r="G113" i="1"/>
  <c r="H113" i="1" s="1"/>
  <c r="H112" i="1"/>
  <c r="G112" i="1"/>
  <c r="G111" i="1"/>
  <c r="H111" i="1" s="1"/>
  <c r="G110" i="1"/>
  <c r="H110" i="1" s="1"/>
  <c r="G109" i="1"/>
  <c r="H109" i="1" s="1"/>
  <c r="G108" i="1"/>
  <c r="H108" i="1" s="1"/>
  <c r="G107" i="1"/>
  <c r="H107" i="1" s="1"/>
  <c r="H106" i="1"/>
  <c r="G106" i="1"/>
  <c r="G105" i="1"/>
  <c r="H105" i="1" s="1"/>
  <c r="H104" i="1"/>
  <c r="G104" i="1"/>
  <c r="G103" i="1"/>
  <c r="H103" i="1" s="1"/>
  <c r="G102" i="1"/>
  <c r="H102" i="1" s="1"/>
  <c r="G101" i="1"/>
  <c r="H101" i="1" s="1"/>
  <c r="G100" i="1"/>
  <c r="H100" i="1" s="1"/>
  <c r="G99" i="1"/>
  <c r="H99" i="1" s="1"/>
  <c r="H98" i="1"/>
  <c r="G98" i="1"/>
  <c r="G97" i="1"/>
  <c r="H97" i="1" s="1"/>
  <c r="H96" i="1"/>
  <c r="G96" i="1"/>
  <c r="G95" i="1"/>
  <c r="H95" i="1" s="1"/>
  <c r="G94" i="1"/>
  <c r="H94" i="1" s="1"/>
  <c r="G93" i="1"/>
  <c r="H93" i="1" s="1"/>
  <c r="G92" i="1"/>
  <c r="H92" i="1" s="1"/>
  <c r="G91" i="1"/>
  <c r="H91" i="1" s="1"/>
  <c r="H90" i="1"/>
  <c r="G90" i="1"/>
  <c r="G89" i="1"/>
  <c r="H89" i="1" s="1"/>
  <c r="H88" i="1"/>
  <c r="G88" i="1"/>
  <c r="G87" i="1"/>
  <c r="H87" i="1" s="1"/>
  <c r="G86" i="1"/>
  <c r="H86" i="1" s="1"/>
  <c r="G85" i="1"/>
  <c r="H85" i="1" s="1"/>
  <c r="G84" i="1"/>
  <c r="H84" i="1" s="1"/>
  <c r="G83" i="1"/>
  <c r="H83" i="1" s="1"/>
  <c r="H82" i="1"/>
  <c r="G82" i="1"/>
  <c r="G81" i="1"/>
  <c r="H81" i="1" s="1"/>
  <c r="H80" i="1"/>
  <c r="G80" i="1"/>
  <c r="G79" i="1"/>
  <c r="H79" i="1" s="1"/>
  <c r="G78" i="1"/>
  <c r="H78" i="1" s="1"/>
  <c r="G77" i="1"/>
  <c r="H77" i="1" s="1"/>
  <c r="G76" i="1"/>
  <c r="H76" i="1" s="1"/>
  <c r="G75" i="1"/>
  <c r="H75" i="1" s="1"/>
  <c r="H74" i="1"/>
  <c r="G74" i="1"/>
  <c r="G73" i="1"/>
  <c r="H73" i="1" s="1"/>
  <c r="H72" i="1"/>
  <c r="G72" i="1"/>
  <c r="H71" i="1"/>
  <c r="G71" i="1"/>
  <c r="G70" i="1"/>
  <c r="H70" i="1" s="1"/>
  <c r="G69" i="1"/>
  <c r="H69" i="1" s="1"/>
  <c r="G68" i="1"/>
  <c r="H68" i="1" s="1"/>
  <c r="G67" i="1"/>
  <c r="H67" i="1" s="1"/>
  <c r="H66" i="1"/>
  <c r="G66" i="1"/>
  <c r="G65" i="1"/>
  <c r="H65" i="1" s="1"/>
  <c r="H64" i="1"/>
  <c r="G64" i="1"/>
  <c r="H63" i="1"/>
  <c r="G63" i="1"/>
  <c r="G62" i="1"/>
  <c r="H62" i="1" s="1"/>
  <c r="A62" i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G61" i="1"/>
  <c r="H61" i="1" s="1"/>
  <c r="G60" i="1"/>
  <c r="H60" i="1" s="1"/>
  <c r="G59" i="1"/>
  <c r="H59" i="1" s="1"/>
  <c r="H58" i="1"/>
  <c r="G58" i="1"/>
  <c r="G57" i="1"/>
  <c r="H57" i="1" s="1"/>
  <c r="H56" i="1"/>
  <c r="G56" i="1"/>
  <c r="H55" i="1"/>
  <c r="G55" i="1"/>
  <c r="G54" i="1"/>
  <c r="H54" i="1" s="1"/>
  <c r="G53" i="1"/>
  <c r="H53" i="1" s="1"/>
  <c r="G52" i="1"/>
  <c r="H52" i="1" s="1"/>
  <c r="G51" i="1"/>
  <c r="H51" i="1" s="1"/>
  <c r="H50" i="1"/>
  <c r="G50" i="1"/>
  <c r="G49" i="1"/>
  <c r="H49" i="1" s="1"/>
  <c r="H48" i="1"/>
  <c r="G48" i="1"/>
  <c r="H47" i="1"/>
  <c r="G47" i="1"/>
  <c r="G46" i="1"/>
  <c r="H46" i="1" s="1"/>
  <c r="G45" i="1"/>
  <c r="H45" i="1" s="1"/>
  <c r="G44" i="1"/>
  <c r="H44" i="1" s="1"/>
  <c r="G43" i="1"/>
  <c r="H43" i="1" s="1"/>
  <c r="H42" i="1"/>
  <c r="G42" i="1"/>
  <c r="G41" i="1"/>
  <c r="H41" i="1" s="1"/>
  <c r="H40" i="1"/>
  <c r="G40" i="1"/>
  <c r="H39" i="1"/>
  <c r="G39" i="1"/>
  <c r="G38" i="1"/>
  <c r="H38" i="1" s="1"/>
  <c r="G37" i="1"/>
  <c r="H37" i="1" s="1"/>
  <c r="G36" i="1"/>
  <c r="H36" i="1" s="1"/>
  <c r="G35" i="1"/>
  <c r="H35" i="1" s="1"/>
  <c r="H34" i="1"/>
  <c r="G34" i="1"/>
  <c r="G33" i="1"/>
  <c r="H33" i="1" s="1"/>
  <c r="H32" i="1"/>
  <c r="G32" i="1"/>
  <c r="G31" i="1"/>
  <c r="H31" i="1" s="1"/>
  <c r="G30" i="1"/>
  <c r="H30" i="1" s="1"/>
  <c r="G29" i="1"/>
  <c r="H29" i="1" s="1"/>
  <c r="G28" i="1"/>
  <c r="H28" i="1" s="1"/>
  <c r="G27" i="1"/>
  <c r="H27" i="1" s="1"/>
  <c r="H26" i="1"/>
  <c r="G26" i="1"/>
  <c r="G25" i="1"/>
  <c r="H25" i="1" s="1"/>
  <c r="H24" i="1"/>
  <c r="G24" i="1"/>
  <c r="G23" i="1"/>
  <c r="H23" i="1" s="1"/>
  <c r="G22" i="1"/>
  <c r="H22" i="1" s="1"/>
  <c r="G21" i="1"/>
  <c r="H21" i="1" s="1"/>
  <c r="G20" i="1"/>
  <c r="H20" i="1" s="1"/>
  <c r="G19" i="1"/>
  <c r="H19" i="1" s="1"/>
  <c r="H18" i="1"/>
  <c r="G18" i="1"/>
  <c r="G17" i="1"/>
  <c r="H17" i="1" s="1"/>
  <c r="H16" i="1"/>
  <c r="G16" i="1"/>
  <c r="G15" i="1"/>
  <c r="H15" i="1" s="1"/>
  <c r="G14" i="1"/>
  <c r="H14" i="1" s="1"/>
  <c r="G13" i="1"/>
  <c r="H13" i="1" s="1"/>
  <c r="G12" i="1"/>
  <c r="H12" i="1" s="1"/>
  <c r="G11" i="1"/>
  <c r="H11" i="1" s="1"/>
  <c r="H10" i="1"/>
  <c r="G10" i="1"/>
  <c r="G9" i="1"/>
  <c r="H9" i="1" s="1"/>
  <c r="H8" i="1"/>
  <c r="G8" i="1"/>
  <c r="G7" i="1"/>
  <c r="H7" i="1" s="1"/>
  <c r="G6" i="1"/>
  <c r="H6" i="1" s="1"/>
  <c r="G5" i="1"/>
  <c r="H5" i="1" s="1"/>
  <c r="G4" i="1"/>
  <c r="H4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G3" i="1"/>
  <c r="H3" i="1" s="1"/>
  <c r="A3" i="1"/>
  <c r="H2" i="1"/>
  <c r="G2" i="1"/>
</calcChain>
</file>

<file path=xl/sharedStrings.xml><?xml version="1.0" encoding="utf-8"?>
<sst xmlns="http://schemas.openxmlformats.org/spreadsheetml/2006/main" count="408" uniqueCount="269">
  <si>
    <t>SL. NO.</t>
  </si>
  <si>
    <t>DESCRIPTION</t>
  </si>
  <si>
    <t>BRAND</t>
  </si>
  <si>
    <t>PART NO.</t>
  </si>
  <si>
    <t>1ST SHIPMT</t>
  </si>
  <si>
    <t>2ND SHIPMT</t>
  </si>
  <si>
    <t>TTL QTY</t>
  </si>
  <si>
    <t>QTY SOLD</t>
  </si>
  <si>
    <t>BAL QTY</t>
  </si>
  <si>
    <t>SEAL - HEAD COVER</t>
  </si>
  <si>
    <t>BAJAJ</t>
  </si>
  <si>
    <t>AA101844</t>
  </si>
  <si>
    <t>CAM CHAIN 100 LINKS</t>
  </si>
  <si>
    <t>DK101064</t>
  </si>
  <si>
    <t>CHAIN</t>
  </si>
  <si>
    <t>RA511202</t>
  </si>
  <si>
    <t>ASSLY CRANKSHAFT-205FL</t>
  </si>
  <si>
    <t>AA101949</t>
  </si>
  <si>
    <t>CRANKSHAFT ASSEMBLY</t>
  </si>
  <si>
    <t>AF101277</t>
  </si>
  <si>
    <t>NUT HEXAGON FLANGE M16</t>
  </si>
  <si>
    <t>ASSLY CAMSHAFT</t>
  </si>
  <si>
    <t>AA101864</t>
  </si>
  <si>
    <t>ARMATURE ASSY</t>
  </si>
  <si>
    <t>AA111082</t>
  </si>
  <si>
    <t>KIT CONNECTING ROD</t>
  </si>
  <si>
    <t>36AA4132</t>
  </si>
  <si>
    <t>OIL PUMP ASSLY                      </t>
  </si>
  <si>
    <t>AA121336</t>
  </si>
  <si>
    <t>AM101174</t>
  </si>
  <si>
    <t>GEAR CABL2524 COM 4S</t>
  </si>
  <si>
    <t>AA191093</t>
  </si>
  <si>
    <t>GEAR CABL2520 COM 4S</t>
  </si>
  <si>
    <t>AA191094</t>
  </si>
  <si>
    <t>CARBURETTOR ASSLY</t>
  </si>
  <si>
    <t>AA121324</t>
  </si>
  <si>
    <t>CYL BLOCK PISTON ASSLY-LPG</t>
  </si>
  <si>
    <t>36AA4105</t>
  </si>
  <si>
    <t>KIT VALAVE 4S BSIV</t>
  </si>
  <si>
    <t>36AA4106</t>
  </si>
  <si>
    <t>ROTOR ASSLY</t>
  </si>
  <si>
    <t>AA111202</t>
  </si>
  <si>
    <t>TENSIONER ASSEMBLY</t>
  </si>
  <si>
    <t>DS101277</t>
  </si>
  <si>
    <t>COIL H.T. WITH CABLE AND CAP-LH</t>
  </si>
  <si>
    <t>AA111132</t>
  </si>
  <si>
    <t>SPROCKET CAMSHAFT</t>
  </si>
  <si>
    <t>PD511229</t>
  </si>
  <si>
    <t>SECTOR ASSY COMP.WITH LEVER</t>
  </si>
  <si>
    <t>AA101736</t>
  </si>
  <si>
    <t>ASSLY SECTOR COMP.REV.CONTROL</t>
  </si>
  <si>
    <t>AA102018</t>
  </si>
  <si>
    <t>STATOR ASSEMBLY(200CC)</t>
  </si>
  <si>
    <t>AN111013</t>
  </si>
  <si>
    <t>IDLER GEAR</t>
  </si>
  <si>
    <t>AN101338</t>
  </si>
  <si>
    <t>ASSLY HOT AIR DEFLECTOR</t>
  </si>
  <si>
    <t>AA102075</t>
  </si>
  <si>
    <t>COWLING INTAKE SIDE</t>
  </si>
  <si>
    <t>AN101162</t>
  </si>
  <si>
    <t>INTERNAL COWLING</t>
  </si>
  <si>
    <t>AN101203</t>
  </si>
  <si>
    <t>ASSLY FAN COVER</t>
  </si>
  <si>
    <t>AA101970</t>
  </si>
  <si>
    <t>PISTON VALVE KIT AA121280 4S PET</t>
  </si>
  <si>
    <t>36AA4112</t>
  </si>
  <si>
    <t>KEY WOODRUFF-C'SHAFT MAG SIDE</t>
  </si>
  <si>
    <t>AP101257</t>
  </si>
  <si>
    <t>HEAD COVER</t>
  </si>
  <si>
    <t>AN101177</t>
  </si>
  <si>
    <t>RUBBER PLUG ON BODY</t>
  </si>
  <si>
    <t>AA231273</t>
  </si>
  <si>
    <t>HANDLE BAR BODY</t>
  </si>
  <si>
    <t>AP161048</t>
  </si>
  <si>
    <t>ASSLY GEAR CONTROL TUBE</t>
  </si>
  <si>
    <t>TUBE GAS CONTR W H.BA</t>
  </si>
  <si>
    <t>PACKING SHIELD &amp; WINDSHIELD REFL</t>
  </si>
  <si>
    <t>BEADING ONE PIECE W/S GLASS</t>
  </si>
  <si>
    <t>AA231239</t>
  </si>
  <si>
    <t>SLEEVE BUMPER MTG SIDE FL</t>
  </si>
  <si>
    <t>SLEEVE BUMPER MTG MID FL</t>
  </si>
  <si>
    <t>NEUTRAL SWITCH CABLE</t>
  </si>
  <si>
    <t>AP111023</t>
  </si>
  <si>
    <t>CABLE BRAKE PARKING REAR</t>
  </si>
  <si>
    <t>AA151083</t>
  </si>
  <si>
    <t>GEAR ASSEMBLY DIFFERENTIAL</t>
  </si>
  <si>
    <t>AM101107</t>
  </si>
  <si>
    <t>PIN GEAR BEVEL</t>
  </si>
  <si>
    <t>BEARING BALL</t>
  </si>
  <si>
    <t>CYL PISTON-LPG,PET 4S ASSLY</t>
  </si>
  <si>
    <t>36AN0010</t>
  </si>
  <si>
    <t>COLLAR CAMSHAFT</t>
  </si>
  <si>
    <t>AA101814</t>
  </si>
  <si>
    <t>SPARK PLUG</t>
  </si>
  <si>
    <t>AZ351207</t>
  </si>
  <si>
    <t>AXEL REAR</t>
  </si>
  <si>
    <t>BEARING RACE KIT LOWER-COMP &amp; Z</t>
  </si>
  <si>
    <t>36BH0053</t>
  </si>
  <si>
    <t>IDLER GEAR NEW MODEL</t>
  </si>
  <si>
    <t>AF101208</t>
  </si>
  <si>
    <t>DIFFERENTIAL GASKET BS6</t>
  </si>
  <si>
    <t>AN101312</t>
  </si>
  <si>
    <t>LEVER-ASSY</t>
  </si>
  <si>
    <t>DH101180</t>
  </si>
  <si>
    <t>GUIDE CHAIN SLACK SIDE (2021)</t>
  </si>
  <si>
    <t>RA511001</t>
  </si>
  <si>
    <t>GUIDE CHAIN TIGHT SIDE (2021)</t>
  </si>
  <si>
    <t>RA511002</t>
  </si>
  <si>
    <t>BEARINH NEEDLE (SL 3520)</t>
  </si>
  <si>
    <t>REAR &amp; COVER</t>
  </si>
  <si>
    <t>AA111079</t>
  </si>
  <si>
    <t>CRANKCASE CLUTCH SIDE</t>
  </si>
  <si>
    <t>AN101127</t>
  </si>
  <si>
    <t>MB</t>
  </si>
  <si>
    <r>
      <t>PLUG SPARK WITH SOLID POST-FMG</t>
    </r>
    <r>
      <rPr>
        <b/>
        <sz val="11"/>
        <color rgb="FFFF0000"/>
        <rFont val="Cambria"/>
        <family val="1"/>
      </rPr>
      <t xml:space="preserve"> (RG6HCC)</t>
    </r>
  </si>
  <si>
    <t>CHAMPION</t>
  </si>
  <si>
    <t>AA111153</t>
  </si>
  <si>
    <t>BEARING NEEDDLE SL-3520</t>
  </si>
  <si>
    <t>PABLA</t>
  </si>
  <si>
    <t>BEARING BALL 28</t>
  </si>
  <si>
    <t>KIT SHOE BRAKE</t>
  </si>
  <si>
    <t>AERO</t>
  </si>
  <si>
    <t>BELLOW PROPELLER</t>
  </si>
  <si>
    <t>HARI</t>
  </si>
  <si>
    <t>INSULATOR</t>
  </si>
  <si>
    <t>GKI</t>
  </si>
  <si>
    <t>AA101594</t>
  </si>
  <si>
    <t>GASKET KIT BS4 GKI</t>
  </si>
  <si>
    <t>GASKET KIT BS6</t>
  </si>
  <si>
    <t>ASSEMBLY TRAILING ARM LH FL</t>
  </si>
  <si>
    <t>SE</t>
  </si>
  <si>
    <t>ASSLY TRAILING ARM RH FL</t>
  </si>
  <si>
    <t>GUIDE CHAIN SLACK/TIGHT SIDE (SET)</t>
  </si>
  <si>
    <t>LOCAL</t>
  </si>
  <si>
    <t>RA511001/RA511002</t>
  </si>
  <si>
    <t>CYL ASSY WHEEL COMP R</t>
  </si>
  <si>
    <t>NJ</t>
  </si>
  <si>
    <r>
      <t>PISTON &amp; RINGS  +1</t>
    </r>
    <r>
      <rPr>
        <b/>
        <sz val="11"/>
        <color rgb="FFFF0000"/>
        <rFont val="Cambria"/>
        <family val="1"/>
      </rPr>
      <t xml:space="preserve"> (COMPACT)</t>
    </r>
  </si>
  <si>
    <t>HF</t>
  </si>
  <si>
    <r>
      <t>PISTON &amp; RINGS STD</t>
    </r>
    <r>
      <rPr>
        <b/>
        <sz val="11"/>
        <rFont val="Cambria"/>
        <family val="1"/>
      </rPr>
      <t xml:space="preserve"> </t>
    </r>
    <r>
      <rPr>
        <b/>
        <sz val="11"/>
        <color rgb="FFFF0000"/>
        <rFont val="Cambria"/>
        <family val="1"/>
      </rPr>
      <t>(COMPACT)</t>
    </r>
  </si>
  <si>
    <t>FLANGE WHEEL SIDE</t>
  </si>
  <si>
    <t>AY141202</t>
  </si>
  <si>
    <t>FLANGE S.G. HSG. WITH OIL SEAL</t>
  </si>
  <si>
    <t>36AA4114</t>
  </si>
  <si>
    <t>FLANGE DIFF. GEAR WITH OIL SEAL</t>
  </si>
  <si>
    <t>36AA4115</t>
  </si>
  <si>
    <r>
      <t>SEAL OIL MAG SIDE (22X35X7)</t>
    </r>
    <r>
      <rPr>
        <b/>
        <sz val="11"/>
        <color rgb="FFFF0000"/>
        <rFont val="Cambria"/>
        <family val="1"/>
      </rPr>
      <t xml:space="preserve"> 2 PCS PACKING</t>
    </r>
  </si>
  <si>
    <t>AP101268</t>
  </si>
  <si>
    <t>SEAL OIL (35X50X8/12)</t>
  </si>
  <si>
    <t>BF551613</t>
  </si>
  <si>
    <t>SEAL OIL (35X47X7)</t>
  </si>
  <si>
    <t>CABLE ACCELERATOR</t>
  </si>
  <si>
    <t>AA191139</t>
  </si>
  <si>
    <t>CABLE CLUTCH</t>
  </si>
  <si>
    <t>AA191092</t>
  </si>
  <si>
    <t xml:space="preserve">SPEEDO METER CABLE </t>
  </si>
  <si>
    <t>AA191102</t>
  </si>
  <si>
    <t>CAP SPARK PLUG LH SOLID POST</t>
  </si>
  <si>
    <t>AF111031</t>
  </si>
  <si>
    <t>CAP SPARK PLUG RH SOLID POST</t>
  </si>
  <si>
    <t>AF111032</t>
  </si>
  <si>
    <t>ASSLY AXLE FRONT WHEEL (COMPACT)</t>
  </si>
  <si>
    <t>AXLE ASSLY REAR WHEE (COMPACT)</t>
  </si>
  <si>
    <t>SLEEVE SPARK PLUG</t>
  </si>
  <si>
    <t>AZ511010</t>
  </si>
  <si>
    <t>HUB FRONT</t>
  </si>
  <si>
    <t>AA151084</t>
  </si>
  <si>
    <t>CAP STRAINER</t>
  </si>
  <si>
    <t>JV541006</t>
  </si>
  <si>
    <t>WHEEL RIM 3.00X8</t>
  </si>
  <si>
    <r>
      <t xml:space="preserve">ASSLY SHAFT PROPELLER </t>
    </r>
    <r>
      <rPr>
        <b/>
        <sz val="11"/>
        <color rgb="FFFF0000"/>
        <rFont val="Cambria"/>
        <family val="1"/>
      </rPr>
      <t>WITHOUT PIN</t>
    </r>
  </si>
  <si>
    <t>STICK DIP CLUTCH COVER</t>
  </si>
  <si>
    <t>AA101667</t>
  </si>
  <si>
    <t>ASSLY STEERING COLUMN</t>
  </si>
  <si>
    <t>AA171027</t>
  </si>
  <si>
    <t>ISOLATOR (2 NAKKA)</t>
  </si>
  <si>
    <t>AF161281</t>
  </si>
  <si>
    <t>MESH OIL FILTER ASSY_G2</t>
  </si>
  <si>
    <t>JG571024</t>
  </si>
  <si>
    <r>
      <t>DOLLAR RUBBER</t>
    </r>
    <r>
      <rPr>
        <b/>
        <sz val="11"/>
        <color rgb="FFFF0000"/>
        <rFont val="Cambria"/>
        <family val="1"/>
      </rPr>
      <t xml:space="preserve"> (THICK)</t>
    </r>
  </si>
  <si>
    <t>PULLEY GAS CONTROL</t>
  </si>
  <si>
    <t>SPRING CLIP</t>
  </si>
  <si>
    <t>CM191049</t>
  </si>
  <si>
    <t>PULLEY GEAR CONTROL</t>
  </si>
  <si>
    <t>AN101181</t>
  </si>
  <si>
    <t>PIN ASSEMBLY PIVOT (FOUNDATION AXLE WITH NUT)</t>
  </si>
  <si>
    <t>AA171011</t>
  </si>
  <si>
    <t>SLIDER BLOCK KIT</t>
  </si>
  <si>
    <t>SLIDER BLOCK KIT BS6</t>
  </si>
  <si>
    <t>FUSE BLADE TYPE 10/30 AMP</t>
  </si>
  <si>
    <t>AK201012</t>
  </si>
  <si>
    <r>
      <t xml:space="preserve">BEARING BALL C-CASE MAGN.SIDE </t>
    </r>
    <r>
      <rPr>
        <b/>
        <sz val="11"/>
        <rFont val="Cambria"/>
        <family val="1"/>
      </rPr>
      <t>6304</t>
    </r>
  </si>
  <si>
    <r>
      <t xml:space="preserve">BEARING BALL 20*52*15 2RS </t>
    </r>
    <r>
      <rPr>
        <b/>
        <sz val="11"/>
        <rFont val="Cambria"/>
        <family val="1"/>
      </rPr>
      <t>6301</t>
    </r>
  </si>
  <si>
    <r>
      <t xml:space="preserve">BEARING BALL </t>
    </r>
    <r>
      <rPr>
        <b/>
        <sz val="11"/>
        <rFont val="Cambria"/>
        <family val="1"/>
      </rPr>
      <t>6305</t>
    </r>
    <r>
      <rPr>
        <sz val="11"/>
        <rFont val="Cambria"/>
        <family val="1"/>
      </rPr>
      <t xml:space="preserve"> </t>
    </r>
    <r>
      <rPr>
        <b/>
        <sz val="11"/>
        <rFont val="Cambria"/>
        <family val="1"/>
      </rPr>
      <t>2RS</t>
    </r>
  </si>
  <si>
    <t>CHOKE CABLE COMP</t>
  </si>
  <si>
    <t>SEAL OIL CLUTCH COVER (20X12X 5.5)</t>
  </si>
  <si>
    <r>
      <t xml:space="preserve">S/A BJ 3WH ANTI DIVE FRONT </t>
    </r>
    <r>
      <rPr>
        <b/>
        <sz val="11"/>
        <rFont val="Cambria"/>
        <family val="1"/>
      </rPr>
      <t>(AB171044)</t>
    </r>
  </si>
  <si>
    <t>ENDURANCE</t>
  </si>
  <si>
    <t>S135100607</t>
  </si>
  <si>
    <r>
      <t xml:space="preserve">S/A BJ 3WH SPIN RR (PLASTIC) </t>
    </r>
    <r>
      <rPr>
        <b/>
        <sz val="11"/>
        <rFont val="Cambria"/>
        <family val="1"/>
      </rPr>
      <t>(24171094)</t>
    </r>
  </si>
  <si>
    <t>S260100807</t>
  </si>
  <si>
    <r>
      <t xml:space="preserve">MAJOR KIT TMC BJ 3 WH </t>
    </r>
    <r>
      <rPr>
        <b/>
        <sz val="11"/>
        <rFont val="Cambria"/>
        <family val="1"/>
      </rPr>
      <t>(24151097)</t>
    </r>
  </si>
  <si>
    <r>
      <t xml:space="preserve">TMC ASSY BJ MXMA  Z / CMPCT+ FR </t>
    </r>
    <r>
      <rPr>
        <b/>
        <sz val="11"/>
        <rFont val="Cambria"/>
        <family val="1"/>
      </rPr>
      <t>(24151291)</t>
    </r>
  </si>
  <si>
    <t>B35401600O</t>
  </si>
  <si>
    <r>
      <t xml:space="preserve">CLUTCH ASSY BJ 3WH 4ST 200 CC MX-CNG </t>
    </r>
    <r>
      <rPr>
        <b/>
        <sz val="11"/>
        <rFont val="Cambria"/>
        <family val="1"/>
      </rPr>
      <t>(AA101593)</t>
    </r>
  </si>
  <si>
    <r>
      <t xml:space="preserve">F/C BJ 3WH 4ST COMPACT (DI) SET </t>
    </r>
    <r>
      <rPr>
        <b/>
        <sz val="11"/>
        <rFont val="Cambria"/>
        <family val="1"/>
      </rPr>
      <t>(36AA4025)</t>
    </r>
  </si>
  <si>
    <t>165FC00375</t>
  </si>
  <si>
    <r>
      <t xml:space="preserve">HOUSING CLUTCH ASSY LPG BJ 4 ST </t>
    </r>
    <r>
      <rPr>
        <b/>
        <sz val="11"/>
        <rFont val="Cambria"/>
        <family val="1"/>
      </rPr>
      <t>(AA101592)</t>
    </r>
  </si>
  <si>
    <t>S/A BJ 3WH RR SPIN (METAL)</t>
  </si>
  <si>
    <t>S265100406</t>
  </si>
  <si>
    <r>
      <t>WHEEL CYL ASSY BJ 3WHEEL RR</t>
    </r>
    <r>
      <rPr>
        <b/>
        <sz val="11"/>
        <rFont val="Cambria"/>
        <family val="1"/>
      </rPr>
      <t xml:space="preserve"> (24151164)</t>
    </r>
  </si>
  <si>
    <t>DURO VALVE WITH SEAL AUTO4 BSVI 36RA03</t>
  </si>
  <si>
    <t>VARROC</t>
  </si>
  <si>
    <t>DURO-AUTO4-RA003S</t>
  </si>
  <si>
    <r>
      <t xml:space="preserve">CDI-PETROL FL 2021 </t>
    </r>
    <r>
      <rPr>
        <b/>
        <sz val="11"/>
        <rFont val="Cambria"/>
        <family val="1"/>
      </rPr>
      <t>(AA111222)</t>
    </r>
  </si>
  <si>
    <t xml:space="preserve">SWISS-M0569C </t>
  </si>
  <si>
    <t>AA111222</t>
  </si>
  <si>
    <r>
      <t xml:space="preserve">REGULATOR </t>
    </r>
    <r>
      <rPr>
        <b/>
        <sz val="11"/>
        <rFont val="Cambria"/>
        <family val="1"/>
      </rPr>
      <t>(AF201036)</t>
    </r>
  </si>
  <si>
    <t>SWISS-M0782A</t>
  </si>
  <si>
    <t>AF201036</t>
  </si>
  <si>
    <r>
      <t>SWITCH IGNITION WITH KEY</t>
    </r>
    <r>
      <rPr>
        <b/>
        <sz val="11"/>
        <rFont val="Cambria"/>
        <family val="1"/>
      </rPr>
      <t xml:space="preserve"> (36AA4028)</t>
    </r>
  </si>
  <si>
    <t>SWISS-M0431E</t>
  </si>
  <si>
    <t>36AA4028</t>
  </si>
  <si>
    <r>
      <t>BOX ASSLY WITH FUSE RE4S</t>
    </r>
    <r>
      <rPr>
        <b/>
        <sz val="11"/>
        <rFont val="Cambria"/>
        <family val="1"/>
      </rPr>
      <t xml:space="preserve"> (AA201185)</t>
    </r>
  </si>
  <si>
    <t>SWISS-M0030AL</t>
  </si>
  <si>
    <t>AA201185</t>
  </si>
  <si>
    <t>INNER TUBE 400*8</t>
  </si>
  <si>
    <t xml:space="preserve">WHEEL CAP 3WH </t>
  </si>
  <si>
    <r>
      <t>VALVE SEAL</t>
    </r>
    <r>
      <rPr>
        <b/>
        <sz val="11"/>
        <rFont val="Cambria"/>
        <family val="1"/>
      </rPr>
      <t xml:space="preserve"> (39103519)</t>
    </r>
  </si>
  <si>
    <t>VLSL-AUTO4-3919</t>
  </si>
  <si>
    <t>CYL BLOCK ASSLY-LPG,PET 4S BSIV (36AA4105)</t>
  </si>
  <si>
    <t>CKIT-COMP-3605</t>
  </si>
  <si>
    <t>AXLE REAR AUTO24 N M FROM FEB 08 (24171118)</t>
  </si>
  <si>
    <t>AXLE-AUTO-2418R</t>
  </si>
  <si>
    <t>AXLE FRONT COMPAQ 24 (24151266)</t>
  </si>
  <si>
    <t>AXLE-COMP-2466</t>
  </si>
  <si>
    <t>PROPELLER SHAFT AUTO2 COMPAQ WITH PIN(24101829)</t>
  </si>
  <si>
    <t>FORG-AUTO2P-2429</t>
  </si>
  <si>
    <t>TRAILING ARM COMPAQ LEFT (24171179)</t>
  </si>
  <si>
    <t>SUSP-AUTO24-2479</t>
  </si>
  <si>
    <t>TRAILING ARM COMPAQ RIGHT (24171180)</t>
  </si>
  <si>
    <t>SUSP-AUTO24-2480</t>
  </si>
  <si>
    <t>BEARING S L3520 COMP RRE 205 AAPE (59200012)</t>
  </si>
  <si>
    <t>BKIT-AUTO-S3520</t>
  </si>
  <si>
    <t>FUSE BOX ASSY AUTO COMPAQ PETROL 205 (AA201185)</t>
  </si>
  <si>
    <t>FUSE-AUTO-AA85</t>
  </si>
  <si>
    <t>PLUG CAP RRE COMPAQ BS4 RH WHITE LONG (AF111031)</t>
  </si>
  <si>
    <t>PCAP-AUTO4-AF32</t>
  </si>
  <si>
    <t>PLUG CAP RRE COMPAQ BS4 LH WHITE SMALL (AA111032)</t>
  </si>
  <si>
    <t>PCAP-AUTO4-AF31</t>
  </si>
  <si>
    <t>R R AUTO4 176 205 (AF201036)</t>
  </si>
  <si>
    <t>REGR-AUTO4-AF36</t>
  </si>
  <si>
    <t>BELLOW AUTO H DUTY W O COLLAR PS 2476 (24171076)</t>
  </si>
  <si>
    <t>RUBB-AUTO-HD76</t>
  </si>
  <si>
    <t>RVM AUTO RE DIESEL BS6 LH (AA221042)</t>
  </si>
  <si>
    <t>REVM-AUTO4-AA42</t>
  </si>
  <si>
    <t>RVM AUTO RE DIESEL BS6 RH (AA221043)</t>
  </si>
  <si>
    <t>REVM-AUTO4-AA43</t>
  </si>
  <si>
    <t>FLANGE V SERIES MEDIUM FACE LIFT COMP(AY141202)</t>
  </si>
  <si>
    <t>FLNG-AUTO24-WD21</t>
  </si>
  <si>
    <t>FLANGE V SERIES BIG FACE LIFT COMP (36AA4114)</t>
  </si>
  <si>
    <t>FLNG-AUTO24-WD22</t>
  </si>
  <si>
    <t>FLANGE V SERIES SMALL AY TYP KING COMP (36AA4115)</t>
  </si>
  <si>
    <t>FLNG-AUTO24-WD02</t>
  </si>
  <si>
    <t>ROTOR ASSY AUTO4 COMPAQ MAZIMA Z BSIV</t>
  </si>
  <si>
    <t>MGRT-AUTO4-AA02</t>
  </si>
  <si>
    <t>COMBINATION SWITCH (RH)</t>
  </si>
  <si>
    <t>MRF TYRE 400*8</t>
  </si>
  <si>
    <t>MRF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</si>
</sst>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name val="Cambria"/>
      <family val="1"/>
    </font>
    <font>
      <b/>
      <sz val="12"/>
      <name val="Cambria"/>
      <family val="1"/>
    </font>
    <font>
      <sz val="13"/>
      <name val="Cambria"/>
      <family val="1"/>
    </font>
    <font>
      <sz val="11"/>
      <name val="Cambria"/>
      <family val="1"/>
    </font>
    <font>
      <sz val="11"/>
      <color theme="1"/>
      <name val="Cambria"/>
      <family val="1"/>
    </font>
    <font>
      <sz val="10"/>
      <name val="Arial"/>
      <family val="2"/>
    </font>
    <font>
      <sz val="11"/>
      <color rgb="FF000000"/>
      <name val="Cambria"/>
      <family val="1"/>
    </font>
    <font>
      <sz val="12"/>
      <color theme="1"/>
      <name val="Cambria"/>
      <family val="1"/>
    </font>
    <font>
      <sz val="12"/>
      <name val="Cambria"/>
      <family val="1"/>
    </font>
    <font>
      <b/>
      <sz val="11"/>
      <color rgb="FFFF0000"/>
      <name val="Cambria"/>
      <family val="1"/>
    </font>
    <font>
      <b/>
      <sz val="11"/>
      <name val="Cambria"/>
      <family val="1"/>
    </font>
    <font>
      <sz val="9"/>
      <color theme="1"/>
      <name val="Cambria"/>
      <family val="1"/>
    </font>
    <font>
      <sz val="10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7" fillId="0" borderId="0"/>
    <xf numFmtId="0" fontId="1" fillId="0" borderId="0"/>
    <xf numFmtId="0" fontId="1" fillId="0" borderId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1" applyFont="1" applyFill="1" applyBorder="1" applyAlignment="1">
      <alignment horizontal="left" vertical="center"/>
    </xf>
    <xf numFmtId="0" fontId="5" fillId="2" borderId="1" xfId="0" quotePrefix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2" applyFont="1" applyFill="1" applyBorder="1" applyAlignment="1">
      <alignment horizontal="left" vertical="center" shrinkToFit="1"/>
    </xf>
    <xf numFmtId="0" fontId="10" fillId="2" borderId="1" xfId="0" applyFont="1" applyFill="1" applyBorder="1" applyAlignment="1">
      <alignment horizontal="center" vertical="center"/>
    </xf>
    <xf numFmtId="0" fontId="9" fillId="4" borderId="1" xfId="2" applyFont="1" applyFill="1" applyBorder="1" applyAlignment="1">
      <alignment horizontal="left" vertical="center" shrinkToFit="1"/>
    </xf>
    <xf numFmtId="0" fontId="5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1" applyFont="1" applyFill="1" applyBorder="1" applyAlignment="1">
      <alignment horizontal="left" vertical="center"/>
    </xf>
    <xf numFmtId="0" fontId="6" fillId="4" borderId="1" xfId="0" quotePrefix="1" applyFont="1" applyFill="1" applyBorder="1" applyAlignment="1">
      <alignment horizontal="center"/>
    </xf>
    <xf numFmtId="0" fontId="5" fillId="4" borderId="1" xfId="0" applyFont="1" applyFill="1" applyBorder="1" applyProtection="1">
      <protection hidden="1"/>
    </xf>
    <xf numFmtId="0" fontId="5" fillId="4" borderId="1" xfId="0" applyFont="1" applyFill="1" applyBorder="1" applyAlignment="1" applyProtection="1">
      <alignment horizontal="center"/>
      <protection locked="0"/>
    </xf>
    <xf numFmtId="0" fontId="5" fillId="4" borderId="1" xfId="3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quotePrefix="1" applyFont="1" applyFill="1" applyBorder="1" applyAlignment="1">
      <alignment horizontal="center" vertical="center"/>
    </xf>
    <xf numFmtId="0" fontId="8" fillId="2" borderId="1" xfId="0" applyFont="1" applyFill="1" applyBorder="1" applyAlignment="1" applyProtection="1">
      <alignment horizontal="left" vertical="center"/>
      <protection hidden="1"/>
    </xf>
    <xf numFmtId="0" fontId="5" fillId="4" borderId="1" xfId="0" quotePrefix="1" applyFont="1" applyFill="1" applyBorder="1" applyAlignment="1">
      <alignment horizontal="center" vertical="center"/>
    </xf>
    <xf numFmtId="0" fontId="6" fillId="2" borderId="1" xfId="0" quotePrefix="1" applyFont="1" applyFill="1" applyBorder="1" applyAlignment="1">
      <alignment horizontal="center" vertical="center"/>
    </xf>
    <xf numFmtId="0" fontId="5" fillId="2" borderId="1" xfId="0" applyFont="1" applyFill="1" applyBorder="1" applyAlignment="1" applyProtection="1">
      <alignment horizontal="left" vertical="center"/>
      <protection hidden="1"/>
    </xf>
    <xf numFmtId="0" fontId="1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5" fillId="4" borderId="1" xfId="3" applyFont="1" applyFill="1" applyBorder="1" applyAlignment="1">
      <alignment horizontal="left"/>
    </xf>
    <xf numFmtId="0" fontId="5" fillId="4" borderId="1" xfId="0" applyFont="1" applyFill="1" applyBorder="1" applyAlignment="1">
      <alignment horizontal="right" vertical="center"/>
    </xf>
    <xf numFmtId="0" fontId="14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 applyProtection="1">
      <alignment horizontal="left" vertical="center"/>
      <protection hidden="1"/>
    </xf>
    <xf numFmtId="0" fontId="6" fillId="4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4">
    <cellStyle name="Normal" xfId="0" builtinId="0"/>
    <cellStyle name="Normal 2" xfId="1" xr:uid="{857E00CA-0BC7-4B66-AD07-674632E79F1F}"/>
    <cellStyle name="Normal 2 2" xfId="3" xr:uid="{C49BF8D6-7632-4CE8-9355-1B713A355998}"/>
    <cellStyle name="Normal 3" xfId="2" xr:uid="{09585478-293F-414F-92C5-32225CFAAE19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5D9F5-8840-4F57-AFFF-107D0197FE60}">
  <dimension ref="A1:I148"/>
  <sheetViews>
    <sheetView tabSelected="1" workbookViewId="0">
      <selection activeCell="A38" sqref="A38"/>
    </sheetView>
  </sheetViews>
  <sheetFormatPr defaultColWidth="10.109375" defaultRowHeight="13.8" x14ac:dyDescent="0.3"/>
  <cols>
    <col min="1" max="1" width="5.44140625" style="13" customWidth="1"/>
    <col min="2" max="2" width="51.6640625" style="51" customWidth="1"/>
    <col min="3" max="3" width="16.44140625" style="13" bestFit="1" customWidth="1"/>
    <col min="4" max="4" width="20.44140625" style="13" bestFit="1" customWidth="1"/>
    <col min="5" max="5" width="10.88671875" style="13" customWidth="1"/>
    <col min="6" max="6" width="11.88671875" style="14" customWidth="1"/>
    <col min="7" max="7" width="10.109375" style="14"/>
    <col min="8" max="8" width="11" style="13" customWidth="1"/>
    <col min="9" max="9" width="9.6640625" style="13" customWidth="1"/>
    <col min="10" max="16384" width="10.109375" style="14"/>
  </cols>
  <sheetData>
    <row r="1" spans="1:9" s="6" customFormat="1" ht="33.6" x14ac:dyDescent="0.3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</row>
    <row r="2" spans="1:9" ht="16.5" customHeight="1" x14ac:dyDescent="0.3">
      <c r="A2" s="7">
        <v>1</v>
      </c>
      <c r="B2" s="8" t="s">
        <v>9</v>
      </c>
      <c r="C2" s="9" t="s">
        <v>10</v>
      </c>
      <c r="D2" s="9" t="s">
        <v>11</v>
      </c>
      <c r="E2" s="10">
        <v>200</v>
      </c>
      <c r="F2" s="11">
        <v>200</v>
      </c>
      <c r="G2" s="12">
        <f>E2+F2</f>
        <v>400</v>
      </c>
      <c r="H2" s="13">
        <f>G2-I2</f>
        <v>332</v>
      </c>
      <c r="I2" s="13">
        <v>68</v>
      </c>
    </row>
    <row r="3" spans="1:9" ht="16.5" customHeight="1" x14ac:dyDescent="0.3">
      <c r="A3" s="7">
        <f>A2+1</f>
        <v>2</v>
      </c>
      <c r="B3" s="15" t="s">
        <v>12</v>
      </c>
      <c r="C3" s="9" t="s">
        <v>10</v>
      </c>
      <c r="D3" s="7" t="s">
        <v>13</v>
      </c>
      <c r="E3" s="10">
        <v>200</v>
      </c>
      <c r="F3" s="11">
        <v>300</v>
      </c>
      <c r="G3" s="12">
        <f t="shared" ref="G3:G76" si="0">E3+F3</f>
        <v>500</v>
      </c>
      <c r="H3" s="13">
        <f t="shared" ref="H3:H66" si="1">G3-I3</f>
        <v>50</v>
      </c>
      <c r="I3" s="13">
        <v>450</v>
      </c>
    </row>
    <row r="4" spans="1:9" ht="16.5" customHeight="1" x14ac:dyDescent="0.3">
      <c r="A4" s="7">
        <f t="shared" ref="A4:A67" si="2">A3+1</f>
        <v>3</v>
      </c>
      <c r="B4" s="15" t="s">
        <v>14</v>
      </c>
      <c r="C4" s="9" t="s">
        <v>10</v>
      </c>
      <c r="D4" s="7" t="s">
        <v>15</v>
      </c>
      <c r="E4" s="10">
        <v>200</v>
      </c>
      <c r="F4" s="11">
        <v>400</v>
      </c>
      <c r="G4" s="12">
        <f t="shared" si="0"/>
        <v>600</v>
      </c>
      <c r="H4" s="13">
        <f t="shared" si="1"/>
        <v>35</v>
      </c>
      <c r="I4" s="13">
        <v>565</v>
      </c>
    </row>
    <row r="5" spans="1:9" ht="16.5" customHeight="1" x14ac:dyDescent="0.3">
      <c r="A5" s="7">
        <f t="shared" si="2"/>
        <v>4</v>
      </c>
      <c r="B5" s="15" t="s">
        <v>16</v>
      </c>
      <c r="C5" s="9" t="s">
        <v>10</v>
      </c>
      <c r="D5" s="7" t="s">
        <v>17</v>
      </c>
      <c r="E5" s="10">
        <v>54</v>
      </c>
      <c r="F5" s="11">
        <v>300</v>
      </c>
      <c r="G5" s="12">
        <f t="shared" si="0"/>
        <v>354</v>
      </c>
      <c r="H5" s="13">
        <f t="shared" si="1"/>
        <v>23</v>
      </c>
      <c r="I5" s="13">
        <v>331</v>
      </c>
    </row>
    <row r="6" spans="1:9" ht="16.5" customHeight="1" x14ac:dyDescent="0.3">
      <c r="A6" s="7">
        <f t="shared" si="2"/>
        <v>5</v>
      </c>
      <c r="B6" s="16" t="s">
        <v>18</v>
      </c>
      <c r="C6" s="9" t="s">
        <v>10</v>
      </c>
      <c r="D6" s="9" t="s">
        <v>19</v>
      </c>
      <c r="E6" s="10">
        <v>0</v>
      </c>
      <c r="F6" s="11">
        <v>20</v>
      </c>
      <c r="G6" s="12">
        <f t="shared" si="0"/>
        <v>20</v>
      </c>
      <c r="H6" s="13">
        <f t="shared" si="1"/>
        <v>7</v>
      </c>
      <c r="I6" s="13">
        <v>13</v>
      </c>
    </row>
    <row r="7" spans="1:9" ht="16.5" customHeight="1" x14ac:dyDescent="0.3">
      <c r="A7" s="7">
        <f t="shared" si="2"/>
        <v>6</v>
      </c>
      <c r="B7" s="15" t="s">
        <v>20</v>
      </c>
      <c r="C7" s="9" t="s">
        <v>10</v>
      </c>
      <c r="D7" s="17">
        <v>39193815</v>
      </c>
      <c r="E7" s="10">
        <v>300</v>
      </c>
      <c r="F7" s="11">
        <v>200</v>
      </c>
      <c r="G7" s="12">
        <f t="shared" si="0"/>
        <v>500</v>
      </c>
      <c r="H7" s="13">
        <f t="shared" si="1"/>
        <v>20</v>
      </c>
      <c r="I7" s="13">
        <v>480</v>
      </c>
    </row>
    <row r="8" spans="1:9" ht="16.5" customHeight="1" x14ac:dyDescent="0.3">
      <c r="A8" s="7">
        <f t="shared" si="2"/>
        <v>7</v>
      </c>
      <c r="B8" s="15" t="s">
        <v>21</v>
      </c>
      <c r="C8" s="7" t="s">
        <v>10</v>
      </c>
      <c r="D8" s="7" t="s">
        <v>22</v>
      </c>
      <c r="E8" s="10">
        <v>100</v>
      </c>
      <c r="F8" s="11">
        <v>100</v>
      </c>
      <c r="G8" s="12">
        <f t="shared" si="0"/>
        <v>200</v>
      </c>
      <c r="H8" s="13">
        <f t="shared" si="1"/>
        <v>50</v>
      </c>
      <c r="I8" s="13">
        <v>150</v>
      </c>
    </row>
    <row r="9" spans="1:9" ht="16.5" customHeight="1" x14ac:dyDescent="0.3">
      <c r="A9" s="7">
        <f t="shared" si="2"/>
        <v>8</v>
      </c>
      <c r="B9" s="15" t="s">
        <v>23</v>
      </c>
      <c r="C9" s="9" t="s">
        <v>10</v>
      </c>
      <c r="D9" s="7" t="s">
        <v>24</v>
      </c>
      <c r="E9" s="10">
        <v>20</v>
      </c>
      <c r="F9" s="18">
        <v>50</v>
      </c>
      <c r="G9" s="12">
        <f t="shared" si="0"/>
        <v>70</v>
      </c>
      <c r="H9" s="13">
        <f t="shared" si="1"/>
        <v>15</v>
      </c>
      <c r="I9" s="13">
        <v>55</v>
      </c>
    </row>
    <row r="10" spans="1:9" ht="16.5" customHeight="1" x14ac:dyDescent="0.3">
      <c r="A10" s="7">
        <f t="shared" si="2"/>
        <v>9</v>
      </c>
      <c r="B10" s="15" t="s">
        <v>25</v>
      </c>
      <c r="C10" s="9" t="s">
        <v>10</v>
      </c>
      <c r="D10" s="7" t="s">
        <v>26</v>
      </c>
      <c r="E10" s="10">
        <v>50</v>
      </c>
      <c r="F10" s="18">
        <v>0</v>
      </c>
      <c r="G10" s="12">
        <f t="shared" si="0"/>
        <v>50</v>
      </c>
      <c r="H10" s="13">
        <f t="shared" si="1"/>
        <v>30</v>
      </c>
      <c r="I10" s="13">
        <v>20</v>
      </c>
    </row>
    <row r="11" spans="1:9" ht="16.5" customHeight="1" x14ac:dyDescent="0.3">
      <c r="A11" s="7">
        <f t="shared" si="2"/>
        <v>10</v>
      </c>
      <c r="B11" s="16" t="s">
        <v>27</v>
      </c>
      <c r="C11" s="9" t="s">
        <v>10</v>
      </c>
      <c r="D11" s="9" t="s">
        <v>28</v>
      </c>
      <c r="E11" s="10">
        <v>50</v>
      </c>
      <c r="F11" s="11">
        <v>250</v>
      </c>
      <c r="G11" s="12">
        <f t="shared" si="0"/>
        <v>300</v>
      </c>
      <c r="H11" s="13">
        <f t="shared" si="1"/>
        <v>60</v>
      </c>
      <c r="I11" s="13">
        <v>240</v>
      </c>
    </row>
    <row r="12" spans="1:9" ht="16.5" customHeight="1" x14ac:dyDescent="0.3">
      <c r="A12" s="7">
        <f t="shared" si="2"/>
        <v>11</v>
      </c>
      <c r="B12" s="16" t="s">
        <v>14</v>
      </c>
      <c r="C12" s="9" t="s">
        <v>10</v>
      </c>
      <c r="D12" s="9" t="s">
        <v>29</v>
      </c>
      <c r="E12" s="10">
        <v>150</v>
      </c>
      <c r="F12" s="11">
        <v>300</v>
      </c>
      <c r="G12" s="12">
        <f t="shared" si="0"/>
        <v>450</v>
      </c>
      <c r="H12" s="13">
        <f t="shared" si="1"/>
        <v>70</v>
      </c>
      <c r="I12" s="13">
        <v>380</v>
      </c>
    </row>
    <row r="13" spans="1:9" x14ac:dyDescent="0.3">
      <c r="A13" s="7">
        <f t="shared" si="2"/>
        <v>12</v>
      </c>
      <c r="B13" s="19" t="s">
        <v>30</v>
      </c>
      <c r="C13" s="9" t="s">
        <v>10</v>
      </c>
      <c r="D13" s="20" t="s">
        <v>31</v>
      </c>
      <c r="E13" s="10">
        <v>100</v>
      </c>
      <c r="F13" s="11">
        <v>100</v>
      </c>
      <c r="G13" s="12">
        <f t="shared" si="0"/>
        <v>200</v>
      </c>
      <c r="H13" s="13">
        <f t="shared" si="1"/>
        <v>25</v>
      </c>
      <c r="I13" s="13">
        <v>175</v>
      </c>
    </row>
    <row r="14" spans="1:9" ht="16.5" customHeight="1" x14ac:dyDescent="0.3">
      <c r="A14" s="7">
        <f t="shared" si="2"/>
        <v>13</v>
      </c>
      <c r="B14" s="15" t="s">
        <v>32</v>
      </c>
      <c r="C14" s="9" t="s">
        <v>10</v>
      </c>
      <c r="D14" s="7" t="s">
        <v>33</v>
      </c>
      <c r="E14" s="10">
        <v>100</v>
      </c>
      <c r="F14" s="11">
        <v>100</v>
      </c>
      <c r="G14" s="12">
        <f t="shared" si="0"/>
        <v>200</v>
      </c>
      <c r="H14" s="13">
        <f t="shared" si="1"/>
        <v>25</v>
      </c>
      <c r="I14" s="13">
        <v>175</v>
      </c>
    </row>
    <row r="15" spans="1:9" x14ac:dyDescent="0.3">
      <c r="A15" s="7">
        <f t="shared" si="2"/>
        <v>14</v>
      </c>
      <c r="B15" s="15" t="s">
        <v>34</v>
      </c>
      <c r="C15" s="9" t="s">
        <v>10</v>
      </c>
      <c r="D15" s="7" t="s">
        <v>35</v>
      </c>
      <c r="E15" s="10">
        <v>63</v>
      </c>
      <c r="F15" s="11">
        <v>123</v>
      </c>
      <c r="G15" s="12">
        <f t="shared" si="0"/>
        <v>186</v>
      </c>
      <c r="H15" s="13">
        <f t="shared" si="1"/>
        <v>84</v>
      </c>
      <c r="I15" s="13">
        <v>102</v>
      </c>
    </row>
    <row r="16" spans="1:9" ht="16.5" customHeight="1" x14ac:dyDescent="0.3">
      <c r="A16" s="7">
        <f t="shared" si="2"/>
        <v>15</v>
      </c>
      <c r="B16" s="15" t="s">
        <v>36</v>
      </c>
      <c r="C16" s="9" t="s">
        <v>10</v>
      </c>
      <c r="D16" s="7" t="s">
        <v>37</v>
      </c>
      <c r="E16" s="10">
        <v>99</v>
      </c>
      <c r="F16" s="18">
        <v>0</v>
      </c>
      <c r="G16" s="12">
        <f t="shared" si="0"/>
        <v>99</v>
      </c>
      <c r="H16" s="13">
        <f t="shared" si="1"/>
        <v>9</v>
      </c>
      <c r="I16" s="13">
        <v>90</v>
      </c>
    </row>
    <row r="17" spans="1:9" ht="16.5" customHeight="1" x14ac:dyDescent="0.3">
      <c r="A17" s="7">
        <f t="shared" si="2"/>
        <v>16</v>
      </c>
      <c r="B17" s="15" t="s">
        <v>38</v>
      </c>
      <c r="C17" s="7" t="s">
        <v>10</v>
      </c>
      <c r="D17" s="7" t="s">
        <v>39</v>
      </c>
      <c r="E17" s="10">
        <v>150</v>
      </c>
      <c r="F17" s="11">
        <v>300</v>
      </c>
      <c r="G17" s="12">
        <f t="shared" si="0"/>
        <v>450</v>
      </c>
      <c r="H17" s="13">
        <f t="shared" si="1"/>
        <v>60</v>
      </c>
      <c r="I17" s="13">
        <v>390</v>
      </c>
    </row>
    <row r="18" spans="1:9" ht="16.5" customHeight="1" x14ac:dyDescent="0.3">
      <c r="A18" s="7">
        <f t="shared" si="2"/>
        <v>17</v>
      </c>
      <c r="B18" s="15" t="s">
        <v>40</v>
      </c>
      <c r="C18" s="7" t="s">
        <v>10</v>
      </c>
      <c r="D18" s="7" t="s">
        <v>41</v>
      </c>
      <c r="E18" s="10">
        <v>54</v>
      </c>
      <c r="F18" s="18">
        <v>0</v>
      </c>
      <c r="G18" s="12">
        <f t="shared" si="0"/>
        <v>54</v>
      </c>
      <c r="H18" s="13">
        <f t="shared" si="1"/>
        <v>21</v>
      </c>
      <c r="I18" s="13">
        <v>33</v>
      </c>
    </row>
    <row r="19" spans="1:9" ht="16.5" customHeight="1" x14ac:dyDescent="0.3">
      <c r="A19" s="7">
        <f t="shared" si="2"/>
        <v>18</v>
      </c>
      <c r="B19" s="15" t="s">
        <v>42</v>
      </c>
      <c r="C19" s="7" t="s">
        <v>10</v>
      </c>
      <c r="D19" s="7" t="s">
        <v>43</v>
      </c>
      <c r="E19" s="10">
        <v>200</v>
      </c>
      <c r="F19" s="11">
        <v>400</v>
      </c>
      <c r="G19" s="12">
        <f t="shared" si="0"/>
        <v>600</v>
      </c>
      <c r="H19" s="13">
        <f t="shared" si="1"/>
        <v>35</v>
      </c>
      <c r="I19" s="13">
        <v>565</v>
      </c>
    </row>
    <row r="20" spans="1:9" ht="16.5" customHeight="1" x14ac:dyDescent="0.3">
      <c r="A20" s="7">
        <f t="shared" si="2"/>
        <v>19</v>
      </c>
      <c r="B20" s="15" t="s">
        <v>44</v>
      </c>
      <c r="C20" s="7" t="s">
        <v>10</v>
      </c>
      <c r="D20" s="7" t="s">
        <v>45</v>
      </c>
      <c r="E20" s="10">
        <v>150</v>
      </c>
      <c r="F20" s="18">
        <v>0</v>
      </c>
      <c r="G20" s="12">
        <f t="shared" si="0"/>
        <v>150</v>
      </c>
      <c r="H20" s="13">
        <f t="shared" si="1"/>
        <v>32</v>
      </c>
      <c r="I20" s="13">
        <v>118</v>
      </c>
    </row>
    <row r="21" spans="1:9" ht="16.5" customHeight="1" x14ac:dyDescent="0.3">
      <c r="A21" s="7">
        <f t="shared" si="2"/>
        <v>20</v>
      </c>
      <c r="B21" s="15" t="s">
        <v>46</v>
      </c>
      <c r="C21" s="7" t="s">
        <v>10</v>
      </c>
      <c r="D21" s="7" t="s">
        <v>47</v>
      </c>
      <c r="E21" s="10">
        <v>200</v>
      </c>
      <c r="F21" s="11">
        <v>200</v>
      </c>
      <c r="G21" s="12">
        <f t="shared" si="0"/>
        <v>400</v>
      </c>
      <c r="H21" s="13">
        <f t="shared" si="1"/>
        <v>30</v>
      </c>
      <c r="I21" s="13">
        <v>370</v>
      </c>
    </row>
    <row r="22" spans="1:9" ht="16.5" customHeight="1" x14ac:dyDescent="0.3">
      <c r="A22" s="7">
        <f t="shared" si="2"/>
        <v>21</v>
      </c>
      <c r="B22" s="15" t="s">
        <v>48</v>
      </c>
      <c r="C22" s="7" t="s">
        <v>10</v>
      </c>
      <c r="D22" s="7" t="s">
        <v>49</v>
      </c>
      <c r="E22" s="10">
        <v>50</v>
      </c>
      <c r="F22" s="11">
        <v>100</v>
      </c>
      <c r="G22" s="12">
        <f t="shared" si="0"/>
        <v>150</v>
      </c>
      <c r="H22" s="13">
        <f t="shared" si="1"/>
        <v>5</v>
      </c>
      <c r="I22" s="13">
        <v>145</v>
      </c>
    </row>
    <row r="23" spans="1:9" ht="16.5" customHeight="1" x14ac:dyDescent="0.3">
      <c r="A23" s="7">
        <f t="shared" si="2"/>
        <v>22</v>
      </c>
      <c r="B23" s="15" t="s">
        <v>50</v>
      </c>
      <c r="C23" s="7" t="s">
        <v>10</v>
      </c>
      <c r="D23" s="7" t="s">
        <v>51</v>
      </c>
      <c r="E23" s="10">
        <v>50</v>
      </c>
      <c r="F23" s="11">
        <v>100</v>
      </c>
      <c r="G23" s="12">
        <f t="shared" si="0"/>
        <v>150</v>
      </c>
      <c r="H23" s="13">
        <f t="shared" si="1"/>
        <v>5</v>
      </c>
      <c r="I23" s="13">
        <v>145</v>
      </c>
    </row>
    <row r="24" spans="1:9" ht="16.5" customHeight="1" x14ac:dyDescent="0.3">
      <c r="A24" s="7">
        <f t="shared" si="2"/>
        <v>23</v>
      </c>
      <c r="B24" s="15" t="s">
        <v>52</v>
      </c>
      <c r="C24" s="7" t="s">
        <v>10</v>
      </c>
      <c r="D24" s="7" t="s">
        <v>53</v>
      </c>
      <c r="E24" s="10">
        <v>100</v>
      </c>
      <c r="F24" s="11">
        <v>208</v>
      </c>
      <c r="G24" s="12">
        <f t="shared" si="0"/>
        <v>308</v>
      </c>
      <c r="H24" s="13">
        <f t="shared" si="1"/>
        <v>47</v>
      </c>
      <c r="I24" s="13">
        <v>261</v>
      </c>
    </row>
    <row r="25" spans="1:9" ht="16.5" customHeight="1" x14ac:dyDescent="0.3">
      <c r="A25" s="7">
        <f t="shared" si="2"/>
        <v>24</v>
      </c>
      <c r="B25" s="15" t="s">
        <v>54</v>
      </c>
      <c r="C25" s="7" t="s">
        <v>10</v>
      </c>
      <c r="D25" s="7" t="s">
        <v>55</v>
      </c>
      <c r="E25" s="10">
        <v>23</v>
      </c>
      <c r="F25" s="11">
        <v>100</v>
      </c>
      <c r="G25" s="12">
        <f t="shared" si="0"/>
        <v>123</v>
      </c>
      <c r="H25" s="13">
        <f t="shared" si="1"/>
        <v>0</v>
      </c>
      <c r="I25" s="13">
        <v>123</v>
      </c>
    </row>
    <row r="26" spans="1:9" ht="16.5" customHeight="1" x14ac:dyDescent="0.3">
      <c r="A26" s="7">
        <f t="shared" si="2"/>
        <v>25</v>
      </c>
      <c r="B26" s="15" t="s">
        <v>56</v>
      </c>
      <c r="C26" s="7" t="s">
        <v>10</v>
      </c>
      <c r="D26" s="7" t="s">
        <v>57</v>
      </c>
      <c r="E26" s="10">
        <v>15</v>
      </c>
      <c r="F26" s="18">
        <v>0</v>
      </c>
      <c r="G26" s="12">
        <f t="shared" si="0"/>
        <v>15</v>
      </c>
      <c r="H26" s="13">
        <f t="shared" si="1"/>
        <v>15</v>
      </c>
      <c r="I26" s="13">
        <v>0</v>
      </c>
    </row>
    <row r="27" spans="1:9" ht="16.5" customHeight="1" x14ac:dyDescent="0.3">
      <c r="A27" s="7">
        <f t="shared" si="2"/>
        <v>26</v>
      </c>
      <c r="B27" s="15" t="s">
        <v>58</v>
      </c>
      <c r="C27" s="7" t="s">
        <v>10</v>
      </c>
      <c r="D27" s="7" t="s">
        <v>59</v>
      </c>
      <c r="E27" s="10">
        <v>0</v>
      </c>
      <c r="F27" s="18">
        <v>0</v>
      </c>
      <c r="G27" s="12">
        <f t="shared" si="0"/>
        <v>0</v>
      </c>
      <c r="H27" s="13">
        <f t="shared" si="1"/>
        <v>0</v>
      </c>
      <c r="I27" s="13">
        <v>0</v>
      </c>
    </row>
    <row r="28" spans="1:9" ht="16.5" customHeight="1" x14ac:dyDescent="0.3">
      <c r="A28" s="7">
        <f t="shared" si="2"/>
        <v>27</v>
      </c>
      <c r="B28" s="15" t="s">
        <v>60</v>
      </c>
      <c r="C28" s="7" t="s">
        <v>10</v>
      </c>
      <c r="D28" s="7" t="s">
        <v>61</v>
      </c>
      <c r="E28" s="10">
        <v>0</v>
      </c>
      <c r="F28" s="18">
        <v>0</v>
      </c>
      <c r="G28" s="12">
        <f t="shared" si="0"/>
        <v>0</v>
      </c>
      <c r="H28" s="13">
        <f t="shared" si="1"/>
        <v>0</v>
      </c>
      <c r="I28" s="13">
        <v>0</v>
      </c>
    </row>
    <row r="29" spans="1:9" ht="16.5" customHeight="1" x14ac:dyDescent="0.3">
      <c r="A29" s="7">
        <f t="shared" si="2"/>
        <v>28</v>
      </c>
      <c r="B29" s="15" t="s">
        <v>62</v>
      </c>
      <c r="C29" s="7" t="s">
        <v>10</v>
      </c>
      <c r="D29" s="7" t="s">
        <v>63</v>
      </c>
      <c r="E29" s="10">
        <v>5</v>
      </c>
      <c r="F29" s="18">
        <v>0</v>
      </c>
      <c r="G29" s="12">
        <f t="shared" si="0"/>
        <v>5</v>
      </c>
      <c r="H29" s="13">
        <f t="shared" si="1"/>
        <v>2</v>
      </c>
      <c r="I29" s="13">
        <v>3</v>
      </c>
    </row>
    <row r="30" spans="1:9" ht="16.5" customHeight="1" x14ac:dyDescent="0.3">
      <c r="A30" s="7">
        <f t="shared" si="2"/>
        <v>29</v>
      </c>
      <c r="B30" s="15" t="s">
        <v>64</v>
      </c>
      <c r="C30" s="7" t="s">
        <v>10</v>
      </c>
      <c r="D30" s="7" t="s">
        <v>65</v>
      </c>
      <c r="E30" s="10">
        <v>100</v>
      </c>
      <c r="F30" s="18">
        <v>0</v>
      </c>
      <c r="G30" s="12">
        <f t="shared" si="0"/>
        <v>100</v>
      </c>
      <c r="H30" s="13">
        <f t="shared" si="1"/>
        <v>48</v>
      </c>
      <c r="I30" s="13">
        <v>52</v>
      </c>
    </row>
    <row r="31" spans="1:9" ht="16.5" customHeight="1" x14ac:dyDescent="0.3">
      <c r="A31" s="7">
        <f t="shared" si="2"/>
        <v>30</v>
      </c>
      <c r="B31" s="15" t="s">
        <v>66</v>
      </c>
      <c r="C31" s="9" t="s">
        <v>10</v>
      </c>
      <c r="D31" s="7" t="s">
        <v>67</v>
      </c>
      <c r="E31" s="10">
        <v>5000</v>
      </c>
      <c r="F31" s="18">
        <v>5000</v>
      </c>
      <c r="G31" s="12">
        <f t="shared" si="0"/>
        <v>10000</v>
      </c>
      <c r="H31" s="13">
        <f t="shared" si="1"/>
        <v>200</v>
      </c>
      <c r="I31" s="13">
        <v>9800</v>
      </c>
    </row>
    <row r="32" spans="1:9" ht="16.5" customHeight="1" x14ac:dyDescent="0.3">
      <c r="A32" s="7">
        <f t="shared" si="2"/>
        <v>31</v>
      </c>
      <c r="B32" s="15" t="s">
        <v>68</v>
      </c>
      <c r="C32" s="7" t="s">
        <v>10</v>
      </c>
      <c r="D32" s="7" t="s">
        <v>69</v>
      </c>
      <c r="E32" s="10">
        <v>2</v>
      </c>
      <c r="F32" s="18">
        <v>0</v>
      </c>
      <c r="G32" s="12">
        <f t="shared" si="0"/>
        <v>2</v>
      </c>
      <c r="H32" s="13">
        <f t="shared" si="1"/>
        <v>0</v>
      </c>
      <c r="I32" s="13">
        <v>2</v>
      </c>
    </row>
    <row r="33" spans="1:9" ht="16.5" customHeight="1" x14ac:dyDescent="0.3">
      <c r="A33" s="7">
        <f t="shared" si="2"/>
        <v>32</v>
      </c>
      <c r="B33" s="15" t="s">
        <v>70</v>
      </c>
      <c r="C33" s="7" t="s">
        <v>10</v>
      </c>
      <c r="D33" s="7" t="s">
        <v>71</v>
      </c>
      <c r="E33" s="10">
        <v>0</v>
      </c>
      <c r="F33" s="18">
        <v>0</v>
      </c>
      <c r="G33" s="12">
        <f t="shared" si="0"/>
        <v>0</v>
      </c>
      <c r="H33" s="13">
        <f t="shared" si="1"/>
        <v>0</v>
      </c>
      <c r="I33" s="13">
        <v>0</v>
      </c>
    </row>
    <row r="34" spans="1:9" ht="16.5" customHeight="1" x14ac:dyDescent="0.3">
      <c r="A34" s="7">
        <f t="shared" si="2"/>
        <v>33</v>
      </c>
      <c r="B34" s="15" t="s">
        <v>72</v>
      </c>
      <c r="C34" s="7" t="s">
        <v>10</v>
      </c>
      <c r="D34" s="7" t="s">
        <v>73</v>
      </c>
      <c r="E34" s="10">
        <v>0</v>
      </c>
      <c r="F34" s="18">
        <v>0</v>
      </c>
      <c r="G34" s="12">
        <f t="shared" si="0"/>
        <v>0</v>
      </c>
      <c r="H34" s="13">
        <f t="shared" si="1"/>
        <v>0</v>
      </c>
      <c r="I34" s="13">
        <v>0</v>
      </c>
    </row>
    <row r="35" spans="1:9" ht="16.5" customHeight="1" x14ac:dyDescent="0.3">
      <c r="A35" s="7">
        <f t="shared" si="2"/>
        <v>34</v>
      </c>
      <c r="B35" s="15" t="s">
        <v>74</v>
      </c>
      <c r="C35" s="7" t="s">
        <v>10</v>
      </c>
      <c r="D35" s="17">
        <v>24181074</v>
      </c>
      <c r="E35" s="10">
        <v>20</v>
      </c>
      <c r="F35" s="18">
        <v>0</v>
      </c>
      <c r="G35" s="12">
        <f t="shared" si="0"/>
        <v>20</v>
      </c>
      <c r="H35" s="13">
        <f t="shared" si="1"/>
        <v>5</v>
      </c>
      <c r="I35" s="13">
        <v>15</v>
      </c>
    </row>
    <row r="36" spans="1:9" ht="16.5" customHeight="1" x14ac:dyDescent="0.3">
      <c r="A36" s="7">
        <f t="shared" si="2"/>
        <v>35</v>
      </c>
      <c r="B36" s="15" t="s">
        <v>75</v>
      </c>
      <c r="C36" s="7" t="s">
        <v>10</v>
      </c>
      <c r="D36" s="17">
        <v>24191098</v>
      </c>
      <c r="E36" s="10">
        <v>0</v>
      </c>
      <c r="F36" s="18">
        <v>0</v>
      </c>
      <c r="G36" s="12">
        <f t="shared" si="0"/>
        <v>0</v>
      </c>
      <c r="H36" s="13">
        <f t="shared" si="1"/>
        <v>0</v>
      </c>
      <c r="I36" s="13">
        <v>0</v>
      </c>
    </row>
    <row r="37" spans="1:9" ht="16.5" customHeight="1" x14ac:dyDescent="0.3">
      <c r="A37" s="7">
        <f t="shared" si="2"/>
        <v>36</v>
      </c>
      <c r="B37" s="15" t="s">
        <v>76</v>
      </c>
      <c r="C37" s="7" t="s">
        <v>10</v>
      </c>
      <c r="D37" s="17">
        <v>24231641</v>
      </c>
      <c r="E37" s="10">
        <v>0</v>
      </c>
      <c r="F37" s="18">
        <v>0</v>
      </c>
      <c r="G37" s="12">
        <f t="shared" si="0"/>
        <v>0</v>
      </c>
      <c r="H37" s="13">
        <f t="shared" si="1"/>
        <v>0</v>
      </c>
      <c r="I37" s="13">
        <v>0</v>
      </c>
    </row>
    <row r="38" spans="1:9" ht="16.5" customHeight="1" x14ac:dyDescent="0.3">
      <c r="A38" s="7">
        <f t="shared" si="2"/>
        <v>37</v>
      </c>
      <c r="B38" s="15" t="s">
        <v>77</v>
      </c>
      <c r="C38" s="7" t="s">
        <v>10</v>
      </c>
      <c r="D38" s="7" t="s">
        <v>78</v>
      </c>
      <c r="E38" s="10">
        <v>0</v>
      </c>
      <c r="F38" s="18">
        <v>0</v>
      </c>
      <c r="G38" s="12">
        <f t="shared" si="0"/>
        <v>0</v>
      </c>
      <c r="H38" s="13">
        <f t="shared" si="1"/>
        <v>0</v>
      </c>
      <c r="I38" s="13">
        <v>0</v>
      </c>
    </row>
    <row r="39" spans="1:9" ht="16.5" customHeight="1" x14ac:dyDescent="0.3">
      <c r="A39" s="7">
        <f t="shared" si="2"/>
        <v>38</v>
      </c>
      <c r="B39" s="15" t="s">
        <v>79</v>
      </c>
      <c r="C39" s="7" t="s">
        <v>10</v>
      </c>
      <c r="D39" s="17">
        <v>24165274</v>
      </c>
      <c r="E39" s="10">
        <v>0</v>
      </c>
      <c r="F39" s="18">
        <v>0</v>
      </c>
      <c r="G39" s="12">
        <f t="shared" si="0"/>
        <v>0</v>
      </c>
      <c r="H39" s="13">
        <f t="shared" si="1"/>
        <v>0</v>
      </c>
      <c r="I39" s="13">
        <v>0</v>
      </c>
    </row>
    <row r="40" spans="1:9" ht="16.5" customHeight="1" x14ac:dyDescent="0.3">
      <c r="A40" s="7">
        <f t="shared" si="2"/>
        <v>39</v>
      </c>
      <c r="B40" s="15" t="s">
        <v>80</v>
      </c>
      <c r="C40" s="7" t="s">
        <v>10</v>
      </c>
      <c r="D40" s="17">
        <v>24165273</v>
      </c>
      <c r="E40" s="10">
        <v>0</v>
      </c>
      <c r="F40" s="18">
        <v>0</v>
      </c>
      <c r="G40" s="12">
        <f t="shared" si="0"/>
        <v>0</v>
      </c>
      <c r="H40" s="13">
        <f t="shared" si="1"/>
        <v>0</v>
      </c>
      <c r="I40" s="13">
        <v>0</v>
      </c>
    </row>
    <row r="41" spans="1:9" ht="16.5" customHeight="1" x14ac:dyDescent="0.3">
      <c r="A41" s="7">
        <f t="shared" si="2"/>
        <v>40</v>
      </c>
      <c r="B41" s="8" t="s">
        <v>81</v>
      </c>
      <c r="C41" s="7" t="s">
        <v>10</v>
      </c>
      <c r="D41" s="9" t="s">
        <v>82</v>
      </c>
      <c r="E41" s="10">
        <v>200</v>
      </c>
      <c r="F41" s="11">
        <v>600</v>
      </c>
      <c r="G41" s="12">
        <f t="shared" si="0"/>
        <v>800</v>
      </c>
      <c r="H41" s="13">
        <f t="shared" si="1"/>
        <v>400</v>
      </c>
      <c r="I41" s="13">
        <v>400</v>
      </c>
    </row>
    <row r="42" spans="1:9" ht="16.5" customHeight="1" x14ac:dyDescent="0.3">
      <c r="A42" s="7">
        <f t="shared" si="2"/>
        <v>41</v>
      </c>
      <c r="B42" s="15" t="s">
        <v>83</v>
      </c>
      <c r="C42" s="7" t="s">
        <v>10</v>
      </c>
      <c r="D42" s="7" t="s">
        <v>84</v>
      </c>
      <c r="E42" s="10">
        <v>98</v>
      </c>
      <c r="F42" s="18">
        <v>0</v>
      </c>
      <c r="G42" s="12">
        <f t="shared" si="0"/>
        <v>98</v>
      </c>
      <c r="H42" s="13">
        <f t="shared" si="1"/>
        <v>58</v>
      </c>
      <c r="I42" s="13">
        <v>40</v>
      </c>
    </row>
    <row r="43" spans="1:9" ht="16.5" customHeight="1" x14ac:dyDescent="0.3">
      <c r="A43" s="7">
        <f t="shared" si="2"/>
        <v>42</v>
      </c>
      <c r="B43" s="15" t="s">
        <v>85</v>
      </c>
      <c r="C43" s="7" t="s">
        <v>10</v>
      </c>
      <c r="D43" s="7" t="s">
        <v>86</v>
      </c>
      <c r="E43" s="10">
        <v>5</v>
      </c>
      <c r="F43" s="18">
        <v>50</v>
      </c>
      <c r="G43" s="12">
        <f t="shared" si="0"/>
        <v>55</v>
      </c>
      <c r="H43" s="13">
        <f t="shared" si="1"/>
        <v>17</v>
      </c>
      <c r="I43" s="13">
        <v>38</v>
      </c>
    </row>
    <row r="44" spans="1:9" ht="16.5" customHeight="1" x14ac:dyDescent="0.3">
      <c r="A44" s="7">
        <f t="shared" si="2"/>
        <v>43</v>
      </c>
      <c r="B44" s="21" t="s">
        <v>87</v>
      </c>
      <c r="C44" s="7" t="s">
        <v>10</v>
      </c>
      <c r="D44" s="22">
        <v>24131032</v>
      </c>
      <c r="E44" s="10">
        <v>20</v>
      </c>
      <c r="F44" s="18">
        <v>40</v>
      </c>
      <c r="G44" s="12">
        <f t="shared" si="0"/>
        <v>60</v>
      </c>
      <c r="H44" s="13">
        <f t="shared" si="1"/>
        <v>20</v>
      </c>
      <c r="I44" s="13">
        <v>40</v>
      </c>
    </row>
    <row r="45" spans="1:9" ht="16.5" customHeight="1" x14ac:dyDescent="0.3">
      <c r="A45" s="7">
        <f t="shared" si="2"/>
        <v>44</v>
      </c>
      <c r="B45" s="21" t="s">
        <v>88</v>
      </c>
      <c r="C45" s="7" t="s">
        <v>10</v>
      </c>
      <c r="D45" s="22">
        <v>30151059</v>
      </c>
      <c r="E45" s="10">
        <v>150</v>
      </c>
      <c r="F45" s="11">
        <v>300</v>
      </c>
      <c r="G45" s="12">
        <f t="shared" si="0"/>
        <v>450</v>
      </c>
      <c r="H45" s="13">
        <f t="shared" si="1"/>
        <v>0</v>
      </c>
      <c r="I45" s="13">
        <v>450</v>
      </c>
    </row>
    <row r="46" spans="1:9" ht="16.5" customHeight="1" x14ac:dyDescent="0.3">
      <c r="A46" s="7">
        <f t="shared" si="2"/>
        <v>45</v>
      </c>
      <c r="B46" s="21" t="s">
        <v>89</v>
      </c>
      <c r="C46" s="7" t="s">
        <v>10</v>
      </c>
      <c r="D46" s="22" t="s">
        <v>90</v>
      </c>
      <c r="E46" s="10">
        <v>12</v>
      </c>
      <c r="F46" s="18">
        <v>0</v>
      </c>
      <c r="G46" s="12">
        <f t="shared" si="0"/>
        <v>12</v>
      </c>
      <c r="H46" s="13">
        <f t="shared" si="1"/>
        <v>8</v>
      </c>
      <c r="I46" s="13">
        <v>4</v>
      </c>
    </row>
    <row r="47" spans="1:9" ht="16.5" customHeight="1" x14ac:dyDescent="0.3">
      <c r="A47" s="7">
        <f t="shared" si="2"/>
        <v>46</v>
      </c>
      <c r="B47" s="21" t="s">
        <v>91</v>
      </c>
      <c r="C47" s="7" t="s">
        <v>10</v>
      </c>
      <c r="D47" s="22" t="s">
        <v>92</v>
      </c>
      <c r="E47" s="10">
        <v>0</v>
      </c>
      <c r="F47" s="18">
        <v>0</v>
      </c>
      <c r="G47" s="12">
        <f t="shared" si="0"/>
        <v>0</v>
      </c>
      <c r="H47" s="13">
        <f t="shared" si="1"/>
        <v>0</v>
      </c>
      <c r="I47" s="13">
        <v>0</v>
      </c>
    </row>
    <row r="48" spans="1:9" ht="16.5" customHeight="1" x14ac:dyDescent="0.3">
      <c r="A48" s="7">
        <f t="shared" si="2"/>
        <v>47</v>
      </c>
      <c r="B48" s="23" t="s">
        <v>93</v>
      </c>
      <c r="C48" s="24" t="s">
        <v>10</v>
      </c>
      <c r="D48" s="25" t="s">
        <v>94</v>
      </c>
      <c r="E48" s="24">
        <v>0</v>
      </c>
      <c r="F48" s="26">
        <v>500</v>
      </c>
      <c r="G48" s="26">
        <f t="shared" si="0"/>
        <v>500</v>
      </c>
      <c r="H48" s="13">
        <f t="shared" si="1"/>
        <v>60</v>
      </c>
      <c r="I48" s="13">
        <v>440</v>
      </c>
    </row>
    <row r="49" spans="1:9" ht="16.5" customHeight="1" x14ac:dyDescent="0.3">
      <c r="A49" s="7">
        <f t="shared" si="2"/>
        <v>48</v>
      </c>
      <c r="B49" s="27" t="s">
        <v>95</v>
      </c>
      <c r="C49" s="24" t="s">
        <v>10</v>
      </c>
      <c r="D49" s="24">
        <v>24171118</v>
      </c>
      <c r="E49" s="24">
        <v>0</v>
      </c>
      <c r="F49" s="26">
        <v>100</v>
      </c>
      <c r="G49" s="26">
        <f t="shared" si="0"/>
        <v>100</v>
      </c>
      <c r="H49" s="13">
        <f t="shared" si="1"/>
        <v>0</v>
      </c>
      <c r="I49" s="13">
        <v>100</v>
      </c>
    </row>
    <row r="50" spans="1:9" ht="16.5" customHeight="1" x14ac:dyDescent="0.25">
      <c r="A50" s="7">
        <f t="shared" si="2"/>
        <v>49</v>
      </c>
      <c r="B50" s="28" t="s">
        <v>96</v>
      </c>
      <c r="C50" s="24" t="s">
        <v>10</v>
      </c>
      <c r="D50" s="29" t="s">
        <v>97</v>
      </c>
      <c r="E50" s="24">
        <v>0</v>
      </c>
      <c r="F50" s="26">
        <v>40</v>
      </c>
      <c r="G50" s="26">
        <f t="shared" si="0"/>
        <v>40</v>
      </c>
      <c r="H50" s="13">
        <f t="shared" si="1"/>
        <v>26</v>
      </c>
      <c r="I50" s="13">
        <v>14</v>
      </c>
    </row>
    <row r="51" spans="1:9" ht="16.5" customHeight="1" x14ac:dyDescent="0.25">
      <c r="A51" s="7">
        <f t="shared" si="2"/>
        <v>50</v>
      </c>
      <c r="B51" s="30" t="s">
        <v>98</v>
      </c>
      <c r="C51" s="24" t="s">
        <v>10</v>
      </c>
      <c r="D51" s="31" t="s">
        <v>99</v>
      </c>
      <c r="E51" s="24">
        <v>0</v>
      </c>
      <c r="F51" s="26">
        <v>50</v>
      </c>
      <c r="G51" s="26">
        <f t="shared" si="0"/>
        <v>50</v>
      </c>
      <c r="H51" s="13">
        <f t="shared" si="1"/>
        <v>10</v>
      </c>
      <c r="I51" s="13">
        <v>40</v>
      </c>
    </row>
    <row r="52" spans="1:9" ht="16.5" customHeight="1" x14ac:dyDescent="0.25">
      <c r="A52" s="7">
        <f t="shared" si="2"/>
        <v>51</v>
      </c>
      <c r="B52" s="30" t="s">
        <v>100</v>
      </c>
      <c r="C52" s="24" t="s">
        <v>10</v>
      </c>
      <c r="D52" s="32" t="s">
        <v>101</v>
      </c>
      <c r="E52" s="24">
        <v>0</v>
      </c>
      <c r="F52" s="26">
        <v>50</v>
      </c>
      <c r="G52" s="26">
        <f t="shared" si="0"/>
        <v>50</v>
      </c>
      <c r="H52" s="13">
        <f t="shared" si="1"/>
        <v>0</v>
      </c>
      <c r="I52" s="13">
        <v>50</v>
      </c>
    </row>
    <row r="53" spans="1:9" ht="16.5" customHeight="1" x14ac:dyDescent="0.25">
      <c r="A53" s="7">
        <f t="shared" si="2"/>
        <v>52</v>
      </c>
      <c r="B53" s="28" t="s">
        <v>102</v>
      </c>
      <c r="C53" s="33" t="s">
        <v>10</v>
      </c>
      <c r="D53" s="33" t="s">
        <v>103</v>
      </c>
      <c r="E53" s="24">
        <v>0</v>
      </c>
      <c r="F53" s="26">
        <v>200</v>
      </c>
      <c r="G53" s="26">
        <f t="shared" si="0"/>
        <v>200</v>
      </c>
      <c r="H53" s="13">
        <f t="shared" si="1"/>
        <v>0</v>
      </c>
      <c r="I53" s="13">
        <v>200</v>
      </c>
    </row>
    <row r="54" spans="1:9" ht="16.5" customHeight="1" x14ac:dyDescent="0.25">
      <c r="A54" s="7">
        <f t="shared" si="2"/>
        <v>53</v>
      </c>
      <c r="B54" s="28" t="s">
        <v>104</v>
      </c>
      <c r="C54" s="33" t="s">
        <v>10</v>
      </c>
      <c r="D54" s="33" t="s">
        <v>105</v>
      </c>
      <c r="E54" s="24">
        <v>0</v>
      </c>
      <c r="F54" s="26">
        <v>40</v>
      </c>
      <c r="G54" s="26">
        <f t="shared" si="0"/>
        <v>40</v>
      </c>
      <c r="H54" s="13">
        <f t="shared" si="1"/>
        <v>40</v>
      </c>
      <c r="I54" s="13">
        <v>0</v>
      </c>
    </row>
    <row r="55" spans="1:9" ht="16.5" customHeight="1" x14ac:dyDescent="0.25">
      <c r="A55" s="7">
        <f t="shared" si="2"/>
        <v>54</v>
      </c>
      <c r="B55" s="28" t="s">
        <v>106</v>
      </c>
      <c r="C55" s="33" t="s">
        <v>10</v>
      </c>
      <c r="D55" s="33" t="s">
        <v>107</v>
      </c>
      <c r="E55" s="24">
        <v>0</v>
      </c>
      <c r="F55" s="26">
        <v>104</v>
      </c>
      <c r="G55" s="26">
        <f t="shared" si="0"/>
        <v>104</v>
      </c>
      <c r="H55" s="13">
        <f t="shared" si="1"/>
        <v>0</v>
      </c>
      <c r="I55" s="13">
        <v>104</v>
      </c>
    </row>
    <row r="56" spans="1:9" ht="16.5" customHeight="1" x14ac:dyDescent="0.3">
      <c r="A56" s="7">
        <f t="shared" si="2"/>
        <v>55</v>
      </c>
      <c r="B56" s="27" t="s">
        <v>108</v>
      </c>
      <c r="C56" s="24" t="s">
        <v>10</v>
      </c>
      <c r="D56" s="24">
        <v>59200012</v>
      </c>
      <c r="E56" s="24">
        <v>0</v>
      </c>
      <c r="F56" s="26">
        <v>300</v>
      </c>
      <c r="G56" s="26">
        <f t="shared" si="0"/>
        <v>300</v>
      </c>
      <c r="H56" s="13">
        <f t="shared" si="1"/>
        <v>120</v>
      </c>
      <c r="I56" s="13">
        <v>180</v>
      </c>
    </row>
    <row r="57" spans="1:9" ht="16.5" customHeight="1" x14ac:dyDescent="0.3">
      <c r="A57" s="7">
        <f t="shared" si="2"/>
        <v>56</v>
      </c>
      <c r="B57" s="27" t="s">
        <v>109</v>
      </c>
      <c r="C57" s="24" t="s">
        <v>10</v>
      </c>
      <c r="D57" s="24" t="s">
        <v>110</v>
      </c>
      <c r="E57" s="24">
        <v>0</v>
      </c>
      <c r="F57" s="26">
        <v>106</v>
      </c>
      <c r="G57" s="26">
        <f t="shared" si="0"/>
        <v>106</v>
      </c>
      <c r="H57" s="13">
        <f t="shared" si="1"/>
        <v>32</v>
      </c>
      <c r="I57" s="13">
        <v>74</v>
      </c>
    </row>
    <row r="58" spans="1:9" ht="16.5" customHeight="1" x14ac:dyDescent="0.3">
      <c r="A58" s="7">
        <f t="shared" si="2"/>
        <v>57</v>
      </c>
      <c r="B58" s="27" t="s">
        <v>111</v>
      </c>
      <c r="C58" s="24" t="s">
        <v>10</v>
      </c>
      <c r="D58" s="24" t="s">
        <v>112</v>
      </c>
      <c r="E58" s="24">
        <v>0</v>
      </c>
      <c r="F58" s="26">
        <v>10</v>
      </c>
      <c r="G58" s="26">
        <f t="shared" si="0"/>
        <v>10</v>
      </c>
      <c r="H58" s="13">
        <f t="shared" si="1"/>
        <v>2</v>
      </c>
      <c r="I58" s="13">
        <v>8</v>
      </c>
    </row>
    <row r="59" spans="1:9" ht="16.5" customHeight="1" x14ac:dyDescent="0.3">
      <c r="A59" s="7">
        <f t="shared" si="2"/>
        <v>58</v>
      </c>
      <c r="B59" s="15" t="s">
        <v>25</v>
      </c>
      <c r="C59" s="9" t="s">
        <v>113</v>
      </c>
      <c r="D59" s="7" t="s">
        <v>26</v>
      </c>
      <c r="E59" s="10">
        <v>100</v>
      </c>
      <c r="F59" s="18">
        <v>0</v>
      </c>
      <c r="G59" s="12">
        <f t="shared" si="0"/>
        <v>100</v>
      </c>
      <c r="H59" s="13">
        <f t="shared" si="1"/>
        <v>10</v>
      </c>
      <c r="I59" s="13">
        <v>90</v>
      </c>
    </row>
    <row r="60" spans="1:9" ht="16.5" customHeight="1" x14ac:dyDescent="0.3">
      <c r="A60" s="7">
        <f t="shared" si="2"/>
        <v>59</v>
      </c>
      <c r="B60" s="15" t="s">
        <v>114</v>
      </c>
      <c r="C60" s="9" t="s">
        <v>115</v>
      </c>
      <c r="D60" s="7" t="s">
        <v>116</v>
      </c>
      <c r="E60" s="10">
        <v>200</v>
      </c>
      <c r="F60" s="18">
        <v>600</v>
      </c>
      <c r="G60" s="12">
        <f t="shared" si="0"/>
        <v>800</v>
      </c>
      <c r="H60" s="13">
        <f t="shared" si="1"/>
        <v>400</v>
      </c>
      <c r="I60" s="13">
        <v>400</v>
      </c>
    </row>
    <row r="61" spans="1:9" ht="16.5" customHeight="1" x14ac:dyDescent="0.3">
      <c r="A61" s="7">
        <f t="shared" si="2"/>
        <v>60</v>
      </c>
      <c r="B61" s="15" t="s">
        <v>117</v>
      </c>
      <c r="C61" s="9" t="s">
        <v>118</v>
      </c>
      <c r="D61" s="17">
        <v>59200012</v>
      </c>
      <c r="E61" s="10">
        <v>150</v>
      </c>
      <c r="F61" s="18">
        <v>300</v>
      </c>
      <c r="G61" s="12">
        <f t="shared" si="0"/>
        <v>450</v>
      </c>
      <c r="H61" s="13">
        <f t="shared" si="1"/>
        <v>140</v>
      </c>
      <c r="I61" s="13">
        <v>310</v>
      </c>
    </row>
    <row r="62" spans="1:9" ht="16.5" customHeight="1" x14ac:dyDescent="0.3">
      <c r="A62" s="7">
        <f t="shared" si="2"/>
        <v>61</v>
      </c>
      <c r="B62" s="15" t="s">
        <v>119</v>
      </c>
      <c r="C62" s="9" t="s">
        <v>118</v>
      </c>
      <c r="D62" s="17">
        <v>39193120</v>
      </c>
      <c r="E62" s="10">
        <v>200</v>
      </c>
      <c r="F62" s="18">
        <v>400</v>
      </c>
      <c r="G62" s="12">
        <f t="shared" si="0"/>
        <v>600</v>
      </c>
      <c r="H62" s="13">
        <f t="shared" si="1"/>
        <v>50</v>
      </c>
      <c r="I62" s="13">
        <v>550</v>
      </c>
    </row>
    <row r="63" spans="1:9" ht="16.5" customHeight="1" x14ac:dyDescent="0.3">
      <c r="A63" s="7">
        <f t="shared" si="2"/>
        <v>62</v>
      </c>
      <c r="B63" s="15" t="s">
        <v>120</v>
      </c>
      <c r="C63" s="9" t="s">
        <v>121</v>
      </c>
      <c r="D63" s="17">
        <v>24151171</v>
      </c>
      <c r="E63" s="10">
        <v>300</v>
      </c>
      <c r="F63" s="18">
        <v>700</v>
      </c>
      <c r="G63" s="12">
        <f t="shared" si="0"/>
        <v>1000</v>
      </c>
      <c r="H63" s="13">
        <f t="shared" si="1"/>
        <v>800</v>
      </c>
      <c r="I63" s="13">
        <v>200</v>
      </c>
    </row>
    <row r="64" spans="1:9" ht="16.5" customHeight="1" x14ac:dyDescent="0.3">
      <c r="A64" s="7">
        <f t="shared" si="2"/>
        <v>63</v>
      </c>
      <c r="B64" s="15" t="s">
        <v>122</v>
      </c>
      <c r="C64" s="9" t="s">
        <v>123</v>
      </c>
      <c r="D64" s="17">
        <v>24171076</v>
      </c>
      <c r="E64" s="10">
        <v>300</v>
      </c>
      <c r="F64" s="18">
        <v>600</v>
      </c>
      <c r="G64" s="12">
        <f t="shared" si="0"/>
        <v>900</v>
      </c>
      <c r="H64" s="13">
        <f t="shared" si="1"/>
        <v>150</v>
      </c>
      <c r="I64" s="13">
        <v>750</v>
      </c>
    </row>
    <row r="65" spans="1:9" ht="16.5" customHeight="1" x14ac:dyDescent="0.3">
      <c r="A65" s="7">
        <f t="shared" si="2"/>
        <v>64</v>
      </c>
      <c r="B65" s="34" t="s">
        <v>124</v>
      </c>
      <c r="C65" s="35" t="s">
        <v>125</v>
      </c>
      <c r="D65" s="36" t="s">
        <v>126</v>
      </c>
      <c r="E65" s="36">
        <v>22</v>
      </c>
      <c r="F65" s="37">
        <v>300</v>
      </c>
      <c r="G65" s="37">
        <f t="shared" si="0"/>
        <v>322</v>
      </c>
      <c r="H65" s="13">
        <f t="shared" si="1"/>
        <v>0</v>
      </c>
      <c r="I65" s="13">
        <v>322</v>
      </c>
    </row>
    <row r="66" spans="1:9" ht="16.5" customHeight="1" x14ac:dyDescent="0.3">
      <c r="A66" s="7">
        <f t="shared" si="2"/>
        <v>65</v>
      </c>
      <c r="B66" s="15" t="s">
        <v>127</v>
      </c>
      <c r="C66" s="9" t="s">
        <v>125</v>
      </c>
      <c r="D66" s="7" t="s">
        <v>125</v>
      </c>
      <c r="E66" s="10">
        <v>250</v>
      </c>
      <c r="F66" s="18">
        <v>500</v>
      </c>
      <c r="G66" s="12">
        <f t="shared" si="0"/>
        <v>750</v>
      </c>
      <c r="H66" s="13">
        <f t="shared" si="1"/>
        <v>25</v>
      </c>
      <c r="I66" s="13">
        <v>725</v>
      </c>
    </row>
    <row r="67" spans="1:9" ht="16.5" customHeight="1" x14ac:dyDescent="0.3">
      <c r="A67" s="7">
        <f t="shared" si="2"/>
        <v>66</v>
      </c>
      <c r="B67" s="15" t="s">
        <v>128</v>
      </c>
      <c r="C67" s="9" t="s">
        <v>125</v>
      </c>
      <c r="D67" s="7" t="s">
        <v>125</v>
      </c>
      <c r="E67" s="10">
        <v>100</v>
      </c>
      <c r="F67" s="18">
        <v>200</v>
      </c>
      <c r="G67" s="12">
        <f t="shared" si="0"/>
        <v>300</v>
      </c>
      <c r="H67" s="13">
        <f t="shared" ref="H67:H132" si="3">G67-I67</f>
        <v>50</v>
      </c>
      <c r="I67" s="13">
        <v>250</v>
      </c>
    </row>
    <row r="68" spans="1:9" ht="16.5" customHeight="1" x14ac:dyDescent="0.3">
      <c r="A68" s="7">
        <f t="shared" ref="A68:A131" si="4">A67+1</f>
        <v>67</v>
      </c>
      <c r="B68" s="15" t="s">
        <v>129</v>
      </c>
      <c r="C68" s="9" t="s">
        <v>130</v>
      </c>
      <c r="D68" s="17">
        <v>24171179</v>
      </c>
      <c r="E68" s="10">
        <v>100</v>
      </c>
      <c r="F68" s="18">
        <v>0</v>
      </c>
      <c r="G68" s="12">
        <f t="shared" si="0"/>
        <v>100</v>
      </c>
      <c r="H68" s="13">
        <f t="shared" si="3"/>
        <v>4</v>
      </c>
      <c r="I68" s="13">
        <v>96</v>
      </c>
    </row>
    <row r="69" spans="1:9" ht="16.5" customHeight="1" x14ac:dyDescent="0.3">
      <c r="A69" s="7">
        <f t="shared" si="4"/>
        <v>68</v>
      </c>
      <c r="B69" s="15" t="s">
        <v>131</v>
      </c>
      <c r="C69" s="9" t="s">
        <v>130</v>
      </c>
      <c r="D69" s="17">
        <v>24171180</v>
      </c>
      <c r="E69" s="10">
        <v>100</v>
      </c>
      <c r="F69" s="18">
        <v>0</v>
      </c>
      <c r="G69" s="12">
        <f t="shared" si="0"/>
        <v>100</v>
      </c>
      <c r="H69" s="13">
        <f t="shared" si="3"/>
        <v>5</v>
      </c>
      <c r="I69" s="13">
        <v>95</v>
      </c>
    </row>
    <row r="70" spans="1:9" ht="16.5" customHeight="1" x14ac:dyDescent="0.3">
      <c r="A70" s="7">
        <f t="shared" si="4"/>
        <v>69</v>
      </c>
      <c r="B70" s="28" t="s">
        <v>132</v>
      </c>
      <c r="C70" s="38" t="s">
        <v>133</v>
      </c>
      <c r="D70" s="39" t="s">
        <v>134</v>
      </c>
      <c r="E70" s="24">
        <v>0</v>
      </c>
      <c r="F70" s="26">
        <v>500</v>
      </c>
      <c r="G70" s="26">
        <f t="shared" si="0"/>
        <v>500</v>
      </c>
      <c r="H70" s="13">
        <f t="shared" si="3"/>
        <v>0</v>
      </c>
      <c r="I70" s="13">
        <v>500</v>
      </c>
    </row>
    <row r="71" spans="1:9" ht="16.5" customHeight="1" x14ac:dyDescent="0.3">
      <c r="A71" s="7">
        <f t="shared" si="4"/>
        <v>70</v>
      </c>
      <c r="B71" s="15" t="s">
        <v>135</v>
      </c>
      <c r="C71" s="9" t="s">
        <v>136</v>
      </c>
      <c r="D71" s="17">
        <v>24151164</v>
      </c>
      <c r="E71" s="10">
        <v>50</v>
      </c>
      <c r="F71" s="18">
        <v>100</v>
      </c>
      <c r="G71" s="12">
        <f t="shared" si="0"/>
        <v>150</v>
      </c>
      <c r="H71" s="13">
        <f t="shared" si="3"/>
        <v>150</v>
      </c>
      <c r="I71" s="13">
        <v>0</v>
      </c>
    </row>
    <row r="72" spans="1:9" ht="16.5" customHeight="1" x14ac:dyDescent="0.3">
      <c r="A72" s="7">
        <f t="shared" si="4"/>
        <v>71</v>
      </c>
      <c r="B72" s="15" t="s">
        <v>137</v>
      </c>
      <c r="C72" s="9" t="s">
        <v>138</v>
      </c>
      <c r="D72" s="7" t="s">
        <v>138</v>
      </c>
      <c r="E72" s="10">
        <v>100</v>
      </c>
      <c r="F72" s="18">
        <v>400</v>
      </c>
      <c r="G72" s="12">
        <f t="shared" si="0"/>
        <v>500</v>
      </c>
      <c r="H72" s="13">
        <f t="shared" si="3"/>
        <v>141</v>
      </c>
      <c r="I72" s="13">
        <v>359</v>
      </c>
    </row>
    <row r="73" spans="1:9" ht="16.5" customHeight="1" x14ac:dyDescent="0.3">
      <c r="A73" s="7">
        <f t="shared" si="4"/>
        <v>72</v>
      </c>
      <c r="B73" s="15" t="s">
        <v>139</v>
      </c>
      <c r="C73" s="9" t="s">
        <v>138</v>
      </c>
      <c r="D73" s="7" t="s">
        <v>138</v>
      </c>
      <c r="E73" s="10">
        <v>0</v>
      </c>
      <c r="F73" s="18">
        <v>200</v>
      </c>
      <c r="G73" s="12">
        <f t="shared" si="0"/>
        <v>200</v>
      </c>
      <c r="H73" s="13">
        <f t="shared" si="3"/>
        <v>0</v>
      </c>
      <c r="I73" s="13">
        <v>200</v>
      </c>
    </row>
    <row r="74" spans="1:9" ht="16.5" customHeight="1" x14ac:dyDescent="0.3">
      <c r="A74" s="7">
        <f t="shared" si="4"/>
        <v>73</v>
      </c>
      <c r="B74" s="15" t="s">
        <v>140</v>
      </c>
      <c r="C74" s="9" t="s">
        <v>133</v>
      </c>
      <c r="D74" s="7" t="s">
        <v>141</v>
      </c>
      <c r="E74" s="10">
        <v>150</v>
      </c>
      <c r="F74" s="18">
        <v>400</v>
      </c>
      <c r="G74" s="12">
        <f t="shared" si="0"/>
        <v>550</v>
      </c>
      <c r="H74" s="13">
        <f t="shared" si="3"/>
        <v>170</v>
      </c>
      <c r="I74" s="13">
        <v>380</v>
      </c>
    </row>
    <row r="75" spans="1:9" ht="16.5" customHeight="1" x14ac:dyDescent="0.3">
      <c r="A75" s="7">
        <f t="shared" si="4"/>
        <v>74</v>
      </c>
      <c r="B75" s="15" t="s">
        <v>142</v>
      </c>
      <c r="C75" s="9" t="s">
        <v>133</v>
      </c>
      <c r="D75" s="7" t="s">
        <v>143</v>
      </c>
      <c r="E75" s="10">
        <v>150</v>
      </c>
      <c r="F75" s="18">
        <v>400</v>
      </c>
      <c r="G75" s="12">
        <f t="shared" si="0"/>
        <v>550</v>
      </c>
      <c r="H75" s="13">
        <f t="shared" si="3"/>
        <v>65</v>
      </c>
      <c r="I75" s="13">
        <v>485</v>
      </c>
    </row>
    <row r="76" spans="1:9" ht="16.5" customHeight="1" x14ac:dyDescent="0.3">
      <c r="A76" s="7">
        <f t="shared" si="4"/>
        <v>75</v>
      </c>
      <c r="B76" s="15" t="s">
        <v>144</v>
      </c>
      <c r="C76" s="9" t="s">
        <v>133</v>
      </c>
      <c r="D76" s="7" t="s">
        <v>145</v>
      </c>
      <c r="E76" s="10">
        <v>150</v>
      </c>
      <c r="F76" s="18">
        <v>400</v>
      </c>
      <c r="G76" s="12">
        <f t="shared" si="0"/>
        <v>550</v>
      </c>
      <c r="H76" s="13">
        <f t="shared" si="3"/>
        <v>85</v>
      </c>
      <c r="I76" s="13">
        <v>465</v>
      </c>
    </row>
    <row r="77" spans="1:9" ht="16.5" customHeight="1" x14ac:dyDescent="0.3">
      <c r="A77" s="7">
        <f t="shared" si="4"/>
        <v>76</v>
      </c>
      <c r="B77" s="15" t="s">
        <v>146</v>
      </c>
      <c r="C77" s="9" t="s">
        <v>133</v>
      </c>
      <c r="D77" s="7" t="s">
        <v>147</v>
      </c>
      <c r="E77" s="10">
        <v>200</v>
      </c>
      <c r="F77" s="18">
        <v>400</v>
      </c>
      <c r="G77" s="12">
        <f t="shared" ref="G77:G140" si="5">E77+F77</f>
        <v>600</v>
      </c>
      <c r="H77" s="13">
        <f t="shared" si="3"/>
        <v>16</v>
      </c>
      <c r="I77" s="13">
        <v>584</v>
      </c>
    </row>
    <row r="78" spans="1:9" ht="16.5" customHeight="1" x14ac:dyDescent="0.3">
      <c r="A78" s="7">
        <f t="shared" si="4"/>
        <v>77</v>
      </c>
      <c r="B78" s="15" t="s">
        <v>148</v>
      </c>
      <c r="C78" s="9" t="s">
        <v>133</v>
      </c>
      <c r="D78" s="7" t="s">
        <v>149</v>
      </c>
      <c r="E78" s="10">
        <v>200</v>
      </c>
      <c r="F78" s="18">
        <v>400</v>
      </c>
      <c r="G78" s="12">
        <f t="shared" si="5"/>
        <v>600</v>
      </c>
      <c r="H78" s="13">
        <f t="shared" si="3"/>
        <v>35</v>
      </c>
      <c r="I78" s="13">
        <v>565</v>
      </c>
    </row>
    <row r="79" spans="1:9" ht="16.5" customHeight="1" x14ac:dyDescent="0.3">
      <c r="A79" s="7">
        <f t="shared" si="4"/>
        <v>78</v>
      </c>
      <c r="B79" s="15" t="s">
        <v>150</v>
      </c>
      <c r="C79" s="9" t="s">
        <v>133</v>
      </c>
      <c r="D79" s="17">
        <v>22171007</v>
      </c>
      <c r="E79" s="10">
        <v>200</v>
      </c>
      <c r="F79" s="18">
        <v>400</v>
      </c>
      <c r="G79" s="12">
        <f t="shared" si="5"/>
        <v>600</v>
      </c>
      <c r="H79" s="13">
        <f t="shared" si="3"/>
        <v>70</v>
      </c>
      <c r="I79" s="13">
        <v>530</v>
      </c>
    </row>
    <row r="80" spans="1:9" ht="16.5" customHeight="1" x14ac:dyDescent="0.3">
      <c r="A80" s="7">
        <f t="shared" si="4"/>
        <v>79</v>
      </c>
      <c r="B80" s="15" t="s">
        <v>30</v>
      </c>
      <c r="C80" s="9" t="s">
        <v>133</v>
      </c>
      <c r="D80" s="7" t="s">
        <v>31</v>
      </c>
      <c r="E80" s="10">
        <v>150</v>
      </c>
      <c r="F80" s="18">
        <v>300</v>
      </c>
      <c r="G80" s="12">
        <f t="shared" si="5"/>
        <v>450</v>
      </c>
      <c r="H80" s="13">
        <f t="shared" si="3"/>
        <v>10</v>
      </c>
      <c r="I80" s="13">
        <v>440</v>
      </c>
    </row>
    <row r="81" spans="1:9" ht="16.5" customHeight="1" x14ac:dyDescent="0.3">
      <c r="A81" s="7">
        <f t="shared" si="4"/>
        <v>80</v>
      </c>
      <c r="B81" s="15" t="s">
        <v>32</v>
      </c>
      <c r="C81" s="9" t="s">
        <v>133</v>
      </c>
      <c r="D81" s="7" t="s">
        <v>33</v>
      </c>
      <c r="E81" s="10">
        <v>150</v>
      </c>
      <c r="F81" s="18">
        <v>300</v>
      </c>
      <c r="G81" s="12">
        <f t="shared" si="5"/>
        <v>450</v>
      </c>
      <c r="H81" s="13">
        <f t="shared" si="3"/>
        <v>0</v>
      </c>
      <c r="I81" s="13">
        <v>450</v>
      </c>
    </row>
    <row r="82" spans="1:9" ht="16.5" customHeight="1" x14ac:dyDescent="0.3">
      <c r="A82" s="7">
        <f t="shared" si="4"/>
        <v>81</v>
      </c>
      <c r="B82" s="16" t="s">
        <v>151</v>
      </c>
      <c r="C82" s="9" t="s">
        <v>133</v>
      </c>
      <c r="D82" s="9" t="s">
        <v>152</v>
      </c>
      <c r="E82" s="10">
        <v>105</v>
      </c>
      <c r="F82" s="18">
        <v>200</v>
      </c>
      <c r="G82" s="12">
        <f t="shared" si="5"/>
        <v>305</v>
      </c>
      <c r="H82" s="13">
        <f t="shared" si="3"/>
        <v>185</v>
      </c>
      <c r="I82" s="13">
        <v>120</v>
      </c>
    </row>
    <row r="83" spans="1:9" ht="16.5" customHeight="1" x14ac:dyDescent="0.3">
      <c r="A83" s="7">
        <f t="shared" si="4"/>
        <v>82</v>
      </c>
      <c r="B83" s="40" t="s">
        <v>153</v>
      </c>
      <c r="C83" s="9" t="s">
        <v>133</v>
      </c>
      <c r="D83" s="20" t="s">
        <v>154</v>
      </c>
      <c r="E83" s="10">
        <v>195</v>
      </c>
      <c r="F83" s="18">
        <v>400</v>
      </c>
      <c r="G83" s="12">
        <f t="shared" si="5"/>
        <v>595</v>
      </c>
      <c r="H83" s="13">
        <f t="shared" si="3"/>
        <v>305</v>
      </c>
      <c r="I83" s="13">
        <v>290</v>
      </c>
    </row>
    <row r="84" spans="1:9" ht="16.5" customHeight="1" x14ac:dyDescent="0.3">
      <c r="A84" s="7">
        <f t="shared" si="4"/>
        <v>83</v>
      </c>
      <c r="B84" s="27" t="s">
        <v>155</v>
      </c>
      <c r="C84" s="38" t="s">
        <v>133</v>
      </c>
      <c r="D84" s="41" t="s">
        <v>156</v>
      </c>
      <c r="E84" s="24">
        <v>0</v>
      </c>
      <c r="F84" s="26">
        <v>100</v>
      </c>
      <c r="G84" s="26">
        <f t="shared" si="5"/>
        <v>100</v>
      </c>
      <c r="H84" s="13">
        <f t="shared" si="3"/>
        <v>20</v>
      </c>
      <c r="I84" s="13">
        <v>80</v>
      </c>
    </row>
    <row r="85" spans="1:9" ht="16.5" customHeight="1" x14ac:dyDescent="0.3">
      <c r="A85" s="7">
        <f t="shared" si="4"/>
        <v>84</v>
      </c>
      <c r="B85" s="40" t="s">
        <v>157</v>
      </c>
      <c r="C85" s="9" t="s">
        <v>133</v>
      </c>
      <c r="D85" s="20" t="s">
        <v>158</v>
      </c>
      <c r="E85" s="10">
        <v>100</v>
      </c>
      <c r="F85" s="18">
        <v>200</v>
      </c>
      <c r="G85" s="12">
        <f t="shared" si="5"/>
        <v>300</v>
      </c>
      <c r="H85" s="13">
        <f t="shared" si="3"/>
        <v>70</v>
      </c>
      <c r="I85" s="13">
        <v>230</v>
      </c>
    </row>
    <row r="86" spans="1:9" ht="16.5" customHeight="1" x14ac:dyDescent="0.3">
      <c r="A86" s="7">
        <f t="shared" si="4"/>
        <v>85</v>
      </c>
      <c r="B86" s="8" t="s">
        <v>159</v>
      </c>
      <c r="C86" s="9" t="s">
        <v>133</v>
      </c>
      <c r="D86" s="9" t="s">
        <v>160</v>
      </c>
      <c r="E86" s="10">
        <v>100</v>
      </c>
      <c r="F86" s="18">
        <v>200</v>
      </c>
      <c r="G86" s="12">
        <f t="shared" si="5"/>
        <v>300</v>
      </c>
      <c r="H86" s="13">
        <f t="shared" si="3"/>
        <v>69</v>
      </c>
      <c r="I86" s="13">
        <v>231</v>
      </c>
    </row>
    <row r="87" spans="1:9" ht="16.5" customHeight="1" x14ac:dyDescent="0.3">
      <c r="A87" s="7">
        <f t="shared" si="4"/>
        <v>86</v>
      </c>
      <c r="B87" s="16" t="s">
        <v>161</v>
      </c>
      <c r="C87" s="9" t="s">
        <v>133</v>
      </c>
      <c r="D87" s="42">
        <v>24151266</v>
      </c>
      <c r="E87" s="10">
        <v>120</v>
      </c>
      <c r="F87" s="18">
        <v>216</v>
      </c>
      <c r="G87" s="12">
        <f t="shared" si="5"/>
        <v>336</v>
      </c>
      <c r="H87" s="13">
        <f t="shared" si="3"/>
        <v>25</v>
      </c>
      <c r="I87" s="13">
        <v>311</v>
      </c>
    </row>
    <row r="88" spans="1:9" ht="16.5" customHeight="1" x14ac:dyDescent="0.3">
      <c r="A88" s="7">
        <f t="shared" si="4"/>
        <v>87</v>
      </c>
      <c r="B88" s="16" t="s">
        <v>162</v>
      </c>
      <c r="C88" s="9" t="s">
        <v>133</v>
      </c>
      <c r="D88" s="42">
        <v>24171118</v>
      </c>
      <c r="E88" s="10">
        <v>127</v>
      </c>
      <c r="F88" s="18">
        <v>200</v>
      </c>
      <c r="G88" s="12">
        <f t="shared" si="5"/>
        <v>327</v>
      </c>
      <c r="H88" s="13">
        <f t="shared" si="3"/>
        <v>65</v>
      </c>
      <c r="I88" s="13">
        <v>262</v>
      </c>
    </row>
    <row r="89" spans="1:9" ht="16.5" customHeight="1" x14ac:dyDescent="0.3">
      <c r="A89" s="7">
        <f t="shared" si="4"/>
        <v>88</v>
      </c>
      <c r="B89" s="15" t="s">
        <v>163</v>
      </c>
      <c r="C89" s="9" t="s">
        <v>133</v>
      </c>
      <c r="D89" s="7" t="s">
        <v>164</v>
      </c>
      <c r="E89" s="10">
        <v>300</v>
      </c>
      <c r="F89" s="18">
        <v>500</v>
      </c>
      <c r="G89" s="12">
        <f t="shared" si="5"/>
        <v>800</v>
      </c>
      <c r="H89" s="13">
        <f t="shared" si="3"/>
        <v>690</v>
      </c>
      <c r="I89" s="13">
        <v>110</v>
      </c>
    </row>
    <row r="90" spans="1:9" ht="16.5" customHeight="1" x14ac:dyDescent="0.3">
      <c r="A90" s="7">
        <f t="shared" si="4"/>
        <v>89</v>
      </c>
      <c r="B90" s="15" t="s">
        <v>165</v>
      </c>
      <c r="C90" s="9" t="s">
        <v>133</v>
      </c>
      <c r="D90" s="7" t="s">
        <v>166</v>
      </c>
      <c r="E90" s="10">
        <v>72</v>
      </c>
      <c r="F90" s="18">
        <v>156</v>
      </c>
      <c r="G90" s="12">
        <f t="shared" si="5"/>
        <v>228</v>
      </c>
      <c r="H90" s="13">
        <f t="shared" si="3"/>
        <v>45</v>
      </c>
      <c r="I90" s="13">
        <v>183</v>
      </c>
    </row>
    <row r="91" spans="1:9" ht="16.5" customHeight="1" x14ac:dyDescent="0.3">
      <c r="A91" s="7">
        <f t="shared" si="4"/>
        <v>90</v>
      </c>
      <c r="B91" s="15" t="s">
        <v>167</v>
      </c>
      <c r="C91" s="9" t="s">
        <v>133</v>
      </c>
      <c r="D91" s="7" t="s">
        <v>168</v>
      </c>
      <c r="E91" s="10">
        <v>125</v>
      </c>
      <c r="F91" s="18">
        <v>300</v>
      </c>
      <c r="G91" s="12">
        <f t="shared" si="5"/>
        <v>425</v>
      </c>
      <c r="H91" s="13">
        <f t="shared" si="3"/>
        <v>325</v>
      </c>
      <c r="I91" s="13">
        <v>100</v>
      </c>
    </row>
    <row r="92" spans="1:9" ht="16.5" customHeight="1" x14ac:dyDescent="0.3">
      <c r="A92" s="7">
        <f t="shared" si="4"/>
        <v>91</v>
      </c>
      <c r="B92" s="15" t="s">
        <v>169</v>
      </c>
      <c r="C92" s="9" t="s">
        <v>133</v>
      </c>
      <c r="D92" s="17">
        <v>24151285</v>
      </c>
      <c r="E92" s="10">
        <v>24</v>
      </c>
      <c r="F92" s="18">
        <v>60</v>
      </c>
      <c r="G92" s="12">
        <f t="shared" si="5"/>
        <v>84</v>
      </c>
      <c r="H92" s="13">
        <f t="shared" si="3"/>
        <v>26</v>
      </c>
      <c r="I92" s="13">
        <v>58</v>
      </c>
    </row>
    <row r="93" spans="1:9" ht="16.5" customHeight="1" x14ac:dyDescent="0.3">
      <c r="A93" s="7">
        <f t="shared" si="4"/>
        <v>92</v>
      </c>
      <c r="B93" s="15" t="s">
        <v>170</v>
      </c>
      <c r="C93" s="9" t="s">
        <v>133</v>
      </c>
      <c r="D93" s="17">
        <v>24101829</v>
      </c>
      <c r="E93" s="10">
        <v>100</v>
      </c>
      <c r="F93" s="18">
        <v>100</v>
      </c>
      <c r="G93" s="12">
        <f t="shared" si="5"/>
        <v>200</v>
      </c>
      <c r="H93" s="13">
        <f t="shared" si="3"/>
        <v>57</v>
      </c>
      <c r="I93" s="13">
        <v>143</v>
      </c>
    </row>
    <row r="94" spans="1:9" ht="16.5" customHeight="1" x14ac:dyDescent="0.3">
      <c r="A94" s="7">
        <f t="shared" si="4"/>
        <v>93</v>
      </c>
      <c r="B94" s="15" t="s">
        <v>171</v>
      </c>
      <c r="C94" s="9" t="s">
        <v>133</v>
      </c>
      <c r="D94" s="7" t="s">
        <v>172</v>
      </c>
      <c r="E94" s="10">
        <v>500</v>
      </c>
      <c r="F94" s="18">
        <v>400</v>
      </c>
      <c r="G94" s="12">
        <f t="shared" si="5"/>
        <v>900</v>
      </c>
      <c r="H94" s="13">
        <f t="shared" si="3"/>
        <v>30</v>
      </c>
      <c r="I94" s="13">
        <v>870</v>
      </c>
    </row>
    <row r="95" spans="1:9" ht="16.5" customHeight="1" x14ac:dyDescent="0.3">
      <c r="A95" s="7">
        <f t="shared" si="4"/>
        <v>94</v>
      </c>
      <c r="B95" s="15" t="s">
        <v>173</v>
      </c>
      <c r="C95" s="9" t="s">
        <v>133</v>
      </c>
      <c r="D95" s="7" t="s">
        <v>174</v>
      </c>
      <c r="E95" s="10">
        <v>10</v>
      </c>
      <c r="F95" s="18">
        <v>100</v>
      </c>
      <c r="G95" s="12">
        <f t="shared" si="5"/>
        <v>110</v>
      </c>
      <c r="H95" s="13">
        <f t="shared" si="3"/>
        <v>67</v>
      </c>
      <c r="I95" s="13">
        <v>43</v>
      </c>
    </row>
    <row r="96" spans="1:9" ht="16.5" customHeight="1" x14ac:dyDescent="0.3">
      <c r="A96" s="7">
        <f t="shared" si="4"/>
        <v>95</v>
      </c>
      <c r="B96" s="15" t="s">
        <v>175</v>
      </c>
      <c r="C96" s="9" t="s">
        <v>133</v>
      </c>
      <c r="D96" s="7" t="s">
        <v>176</v>
      </c>
      <c r="E96" s="10">
        <v>200</v>
      </c>
      <c r="F96" s="18">
        <v>344</v>
      </c>
      <c r="G96" s="12">
        <f t="shared" si="5"/>
        <v>544</v>
      </c>
      <c r="H96" s="13">
        <f t="shared" si="3"/>
        <v>56</v>
      </c>
      <c r="I96" s="13">
        <v>488</v>
      </c>
    </row>
    <row r="97" spans="1:9" ht="16.5" customHeight="1" x14ac:dyDescent="0.3">
      <c r="A97" s="7">
        <f t="shared" si="4"/>
        <v>96</v>
      </c>
      <c r="B97" s="15" t="s">
        <v>177</v>
      </c>
      <c r="C97" s="9" t="s">
        <v>133</v>
      </c>
      <c r="D97" s="7" t="s">
        <v>178</v>
      </c>
      <c r="E97" s="10">
        <v>200</v>
      </c>
      <c r="F97" s="18">
        <v>500</v>
      </c>
      <c r="G97" s="12">
        <f t="shared" si="5"/>
        <v>700</v>
      </c>
      <c r="H97" s="13">
        <f t="shared" si="3"/>
        <v>135</v>
      </c>
      <c r="I97" s="13">
        <v>565</v>
      </c>
    </row>
    <row r="98" spans="1:9" ht="16.5" customHeight="1" x14ac:dyDescent="0.3">
      <c r="A98" s="7">
        <f t="shared" si="4"/>
        <v>97</v>
      </c>
      <c r="B98" s="15" t="s">
        <v>179</v>
      </c>
      <c r="C98" s="9" t="s">
        <v>133</v>
      </c>
      <c r="D98" s="7" t="s">
        <v>133</v>
      </c>
      <c r="E98" s="10">
        <v>1000</v>
      </c>
      <c r="F98" s="18">
        <v>0</v>
      </c>
      <c r="G98" s="12">
        <f t="shared" si="5"/>
        <v>1000</v>
      </c>
      <c r="H98" s="13">
        <f t="shared" si="3"/>
        <v>700</v>
      </c>
      <c r="I98" s="13">
        <v>300</v>
      </c>
    </row>
    <row r="99" spans="1:9" ht="16.5" customHeight="1" x14ac:dyDescent="0.3">
      <c r="A99" s="7">
        <f t="shared" si="4"/>
        <v>98</v>
      </c>
      <c r="B99" s="15" t="s">
        <v>180</v>
      </c>
      <c r="C99" s="9" t="s">
        <v>133</v>
      </c>
      <c r="D99" s="17">
        <v>24191101</v>
      </c>
      <c r="E99" s="10">
        <v>50</v>
      </c>
      <c r="F99" s="18">
        <v>0</v>
      </c>
      <c r="G99" s="12">
        <f t="shared" si="5"/>
        <v>50</v>
      </c>
      <c r="H99" s="13">
        <f t="shared" si="3"/>
        <v>50</v>
      </c>
      <c r="I99" s="13">
        <v>0</v>
      </c>
    </row>
    <row r="100" spans="1:9" ht="16.5" customHeight="1" x14ac:dyDescent="0.3">
      <c r="A100" s="7">
        <f t="shared" si="4"/>
        <v>99</v>
      </c>
      <c r="B100" s="15" t="s">
        <v>181</v>
      </c>
      <c r="C100" s="9" t="s">
        <v>133</v>
      </c>
      <c r="D100" s="7" t="s">
        <v>182</v>
      </c>
      <c r="E100" s="10">
        <v>100</v>
      </c>
      <c r="F100" s="18">
        <v>0</v>
      </c>
      <c r="G100" s="12">
        <f t="shared" si="5"/>
        <v>100</v>
      </c>
      <c r="H100" s="13">
        <f t="shared" si="3"/>
        <v>0</v>
      </c>
      <c r="I100" s="13">
        <v>100</v>
      </c>
    </row>
    <row r="101" spans="1:9" ht="16.5" customHeight="1" x14ac:dyDescent="0.3">
      <c r="A101" s="7">
        <f t="shared" si="4"/>
        <v>100</v>
      </c>
      <c r="B101" s="15" t="s">
        <v>183</v>
      </c>
      <c r="C101" s="9" t="s">
        <v>133</v>
      </c>
      <c r="D101" s="17">
        <v>24191184</v>
      </c>
      <c r="E101" s="10">
        <v>98</v>
      </c>
      <c r="F101" s="18">
        <v>0</v>
      </c>
      <c r="G101" s="12">
        <f t="shared" si="5"/>
        <v>98</v>
      </c>
      <c r="H101" s="13">
        <f t="shared" si="3"/>
        <v>0</v>
      </c>
      <c r="I101" s="13">
        <v>98</v>
      </c>
    </row>
    <row r="102" spans="1:9" ht="16.5" customHeight="1" x14ac:dyDescent="0.3">
      <c r="A102" s="7">
        <f t="shared" si="4"/>
        <v>101</v>
      </c>
      <c r="B102" s="15" t="s">
        <v>163</v>
      </c>
      <c r="C102" s="9" t="s">
        <v>133</v>
      </c>
      <c r="D102" s="7" t="s">
        <v>184</v>
      </c>
      <c r="E102" s="10">
        <v>0</v>
      </c>
      <c r="F102" s="18">
        <v>500</v>
      </c>
      <c r="G102" s="12">
        <f t="shared" si="5"/>
        <v>500</v>
      </c>
      <c r="H102" s="13">
        <f t="shared" si="3"/>
        <v>-490</v>
      </c>
      <c r="I102" s="13">
        <v>990</v>
      </c>
    </row>
    <row r="103" spans="1:9" ht="16.5" customHeight="1" x14ac:dyDescent="0.3">
      <c r="A103" s="7">
        <f t="shared" si="4"/>
        <v>102</v>
      </c>
      <c r="B103" s="15" t="s">
        <v>185</v>
      </c>
      <c r="C103" s="9" t="s">
        <v>133</v>
      </c>
      <c r="D103" s="7" t="s">
        <v>186</v>
      </c>
      <c r="E103" s="10">
        <v>50</v>
      </c>
      <c r="F103" s="18">
        <v>200</v>
      </c>
      <c r="G103" s="12">
        <f t="shared" si="5"/>
        <v>250</v>
      </c>
      <c r="H103" s="13">
        <f t="shared" si="3"/>
        <v>50</v>
      </c>
      <c r="I103" s="13">
        <v>200</v>
      </c>
    </row>
    <row r="104" spans="1:9" ht="16.5" customHeight="1" x14ac:dyDescent="0.3">
      <c r="A104" s="7">
        <f t="shared" si="4"/>
        <v>103</v>
      </c>
      <c r="B104" s="15" t="s">
        <v>187</v>
      </c>
      <c r="C104" s="9" t="s">
        <v>133</v>
      </c>
      <c r="D104" s="9"/>
      <c r="E104" s="10">
        <v>540</v>
      </c>
      <c r="F104" s="18">
        <v>1000</v>
      </c>
      <c r="G104" s="12">
        <f t="shared" si="5"/>
        <v>1540</v>
      </c>
      <c r="H104" s="13">
        <f t="shared" si="3"/>
        <v>584</v>
      </c>
      <c r="I104" s="13">
        <v>956</v>
      </c>
    </row>
    <row r="105" spans="1:9" ht="16.5" customHeight="1" x14ac:dyDescent="0.3">
      <c r="A105" s="7">
        <f t="shared" si="4"/>
        <v>104</v>
      </c>
      <c r="B105" s="27" t="s">
        <v>188</v>
      </c>
      <c r="C105" s="38"/>
      <c r="D105" s="38"/>
      <c r="E105" s="24">
        <v>0</v>
      </c>
      <c r="F105" s="26">
        <v>1000</v>
      </c>
      <c r="G105" s="26">
        <f t="shared" si="5"/>
        <v>1000</v>
      </c>
      <c r="H105" s="13">
        <f t="shared" si="3"/>
        <v>580</v>
      </c>
      <c r="I105" s="13">
        <v>420</v>
      </c>
    </row>
    <row r="106" spans="1:9" ht="16.5" customHeight="1" x14ac:dyDescent="0.3">
      <c r="A106" s="7">
        <f t="shared" si="4"/>
        <v>105</v>
      </c>
      <c r="B106" s="15" t="s">
        <v>189</v>
      </c>
      <c r="C106" s="9" t="s">
        <v>133</v>
      </c>
      <c r="D106" s="9" t="s">
        <v>190</v>
      </c>
      <c r="E106" s="10">
        <v>300</v>
      </c>
      <c r="F106" s="18">
        <v>0</v>
      </c>
      <c r="G106" s="12">
        <f t="shared" si="5"/>
        <v>300</v>
      </c>
      <c r="H106" s="13">
        <f t="shared" si="3"/>
        <v>300</v>
      </c>
      <c r="I106" s="13">
        <v>0</v>
      </c>
    </row>
    <row r="107" spans="1:9" ht="16.5" customHeight="1" x14ac:dyDescent="0.3">
      <c r="A107" s="7">
        <f t="shared" si="4"/>
        <v>106</v>
      </c>
      <c r="B107" s="15" t="s">
        <v>191</v>
      </c>
      <c r="C107" s="9" t="s">
        <v>118</v>
      </c>
      <c r="D107" s="9">
        <v>30151059</v>
      </c>
      <c r="E107" s="10">
        <v>0</v>
      </c>
      <c r="F107" s="18">
        <v>200</v>
      </c>
      <c r="G107" s="12">
        <f t="shared" si="5"/>
        <v>200</v>
      </c>
      <c r="H107" s="13">
        <f t="shared" si="3"/>
        <v>5</v>
      </c>
      <c r="I107" s="13">
        <v>195</v>
      </c>
    </row>
    <row r="108" spans="1:9" ht="16.5" customHeight="1" x14ac:dyDescent="0.3">
      <c r="A108" s="7">
        <f t="shared" si="4"/>
        <v>107</v>
      </c>
      <c r="B108" s="15" t="s">
        <v>192</v>
      </c>
      <c r="C108" s="9" t="s">
        <v>118</v>
      </c>
      <c r="D108" s="9">
        <v>39186420</v>
      </c>
      <c r="E108" s="10">
        <v>100</v>
      </c>
      <c r="F108" s="18">
        <v>200</v>
      </c>
      <c r="G108" s="12">
        <f t="shared" si="5"/>
        <v>300</v>
      </c>
      <c r="H108" s="13">
        <f t="shared" si="3"/>
        <v>35</v>
      </c>
      <c r="I108" s="13">
        <v>265</v>
      </c>
    </row>
    <row r="109" spans="1:9" ht="16.5" customHeight="1" x14ac:dyDescent="0.3">
      <c r="A109" s="7">
        <f t="shared" si="4"/>
        <v>108</v>
      </c>
      <c r="B109" s="15" t="s">
        <v>193</v>
      </c>
      <c r="C109" s="9" t="s">
        <v>118</v>
      </c>
      <c r="D109" s="9">
        <v>39256120</v>
      </c>
      <c r="E109" s="10">
        <v>0</v>
      </c>
      <c r="F109" s="18">
        <v>200</v>
      </c>
      <c r="G109" s="12">
        <f t="shared" si="5"/>
        <v>200</v>
      </c>
      <c r="H109" s="13">
        <f t="shared" si="3"/>
        <v>55</v>
      </c>
      <c r="I109" s="13">
        <v>145</v>
      </c>
    </row>
    <row r="110" spans="1:9" ht="16.5" customHeight="1" x14ac:dyDescent="0.3">
      <c r="A110" s="7">
        <f t="shared" si="4"/>
        <v>109</v>
      </c>
      <c r="B110" s="15" t="s">
        <v>194</v>
      </c>
      <c r="C110" s="9" t="s">
        <v>133</v>
      </c>
      <c r="D110" s="9">
        <v>24191182</v>
      </c>
      <c r="E110" s="10">
        <v>50</v>
      </c>
      <c r="F110" s="18">
        <v>100</v>
      </c>
      <c r="G110" s="12">
        <f t="shared" si="5"/>
        <v>150</v>
      </c>
      <c r="H110" s="13">
        <f t="shared" si="3"/>
        <v>10</v>
      </c>
      <c r="I110" s="13">
        <v>140</v>
      </c>
    </row>
    <row r="111" spans="1:9" ht="16.5" customHeight="1" x14ac:dyDescent="0.3">
      <c r="A111" s="7">
        <f t="shared" si="4"/>
        <v>110</v>
      </c>
      <c r="B111" s="15" t="s">
        <v>195</v>
      </c>
      <c r="C111" s="9" t="s">
        <v>133</v>
      </c>
      <c r="D111" s="9">
        <v>39104119</v>
      </c>
      <c r="E111" s="10">
        <v>500</v>
      </c>
      <c r="F111" s="18">
        <v>1000</v>
      </c>
      <c r="G111" s="12">
        <f t="shared" si="5"/>
        <v>1500</v>
      </c>
      <c r="H111" s="13">
        <f t="shared" si="3"/>
        <v>30</v>
      </c>
      <c r="I111" s="13">
        <v>1470</v>
      </c>
    </row>
    <row r="112" spans="1:9" ht="16.5" customHeight="1" x14ac:dyDescent="0.3">
      <c r="A112" s="7">
        <f t="shared" si="4"/>
        <v>111</v>
      </c>
      <c r="B112" s="15" t="s">
        <v>196</v>
      </c>
      <c r="C112" s="9" t="s">
        <v>197</v>
      </c>
      <c r="D112" s="7" t="s">
        <v>198</v>
      </c>
      <c r="E112" s="10">
        <v>78</v>
      </c>
      <c r="F112" s="18">
        <v>300</v>
      </c>
      <c r="G112" s="12">
        <f t="shared" si="5"/>
        <v>378</v>
      </c>
      <c r="H112" s="13">
        <f t="shared" si="3"/>
        <v>62</v>
      </c>
      <c r="I112" s="13">
        <v>316</v>
      </c>
    </row>
    <row r="113" spans="1:9" ht="16.5" customHeight="1" x14ac:dyDescent="0.3">
      <c r="A113" s="7">
        <f t="shared" si="4"/>
        <v>112</v>
      </c>
      <c r="B113" s="15" t="s">
        <v>199</v>
      </c>
      <c r="C113" s="9" t="s">
        <v>197</v>
      </c>
      <c r="D113" s="7" t="s">
        <v>200</v>
      </c>
      <c r="E113" s="10">
        <v>78</v>
      </c>
      <c r="F113" s="18">
        <v>300</v>
      </c>
      <c r="G113" s="12">
        <f t="shared" si="5"/>
        <v>378</v>
      </c>
      <c r="H113" s="13">
        <f t="shared" si="3"/>
        <v>7</v>
      </c>
      <c r="I113" s="13">
        <v>371</v>
      </c>
    </row>
    <row r="114" spans="1:9" ht="16.5" customHeight="1" x14ac:dyDescent="0.3">
      <c r="A114" s="7">
        <f t="shared" si="4"/>
        <v>113</v>
      </c>
      <c r="B114" s="15" t="s">
        <v>201</v>
      </c>
      <c r="C114" s="9" t="s">
        <v>197</v>
      </c>
      <c r="D114" s="9">
        <v>3005100101</v>
      </c>
      <c r="E114" s="10">
        <v>75</v>
      </c>
      <c r="F114" s="18">
        <v>210</v>
      </c>
      <c r="G114" s="12">
        <f t="shared" si="5"/>
        <v>285</v>
      </c>
      <c r="H114" s="13">
        <f t="shared" si="3"/>
        <v>70</v>
      </c>
      <c r="I114" s="13">
        <v>215</v>
      </c>
    </row>
    <row r="115" spans="1:9" ht="16.5" customHeight="1" x14ac:dyDescent="0.3">
      <c r="A115" s="7">
        <f t="shared" si="4"/>
        <v>114</v>
      </c>
      <c r="B115" s="43" t="s">
        <v>202</v>
      </c>
      <c r="C115" s="9" t="s">
        <v>197</v>
      </c>
      <c r="D115" s="20" t="s">
        <v>203</v>
      </c>
      <c r="E115" s="10">
        <v>135</v>
      </c>
      <c r="F115" s="18">
        <v>270</v>
      </c>
      <c r="G115" s="12">
        <f t="shared" si="5"/>
        <v>405</v>
      </c>
      <c r="H115" s="13">
        <f t="shared" si="3"/>
        <v>14</v>
      </c>
      <c r="I115" s="13">
        <v>391</v>
      </c>
    </row>
    <row r="116" spans="1:9" ht="16.5" customHeight="1" x14ac:dyDescent="0.3">
      <c r="A116" s="7">
        <f t="shared" si="4"/>
        <v>115</v>
      </c>
      <c r="B116" s="15" t="s">
        <v>204</v>
      </c>
      <c r="C116" s="9" t="s">
        <v>197</v>
      </c>
      <c r="D116" s="7">
        <v>1650101701</v>
      </c>
      <c r="E116" s="10">
        <v>100</v>
      </c>
      <c r="F116" s="18">
        <v>200</v>
      </c>
      <c r="G116" s="12">
        <f t="shared" si="5"/>
        <v>300</v>
      </c>
      <c r="H116" s="13">
        <f t="shared" si="3"/>
        <v>26</v>
      </c>
      <c r="I116" s="13">
        <v>274</v>
      </c>
    </row>
    <row r="117" spans="1:9" ht="16.5" customHeight="1" x14ac:dyDescent="0.3">
      <c r="A117" s="7">
        <f t="shared" si="4"/>
        <v>116</v>
      </c>
      <c r="B117" s="15" t="s">
        <v>205</v>
      </c>
      <c r="C117" s="9" t="s">
        <v>197</v>
      </c>
      <c r="D117" s="7" t="s">
        <v>206</v>
      </c>
      <c r="E117" s="10">
        <v>156</v>
      </c>
      <c r="F117" s="18">
        <v>520</v>
      </c>
      <c r="G117" s="12">
        <f t="shared" si="5"/>
        <v>676</v>
      </c>
      <c r="H117" s="13">
        <f t="shared" si="3"/>
        <v>57</v>
      </c>
      <c r="I117" s="13">
        <v>619</v>
      </c>
    </row>
    <row r="118" spans="1:9" ht="16.5" customHeight="1" x14ac:dyDescent="0.3">
      <c r="A118" s="7">
        <f t="shared" si="4"/>
        <v>117</v>
      </c>
      <c r="B118" s="34" t="s">
        <v>207</v>
      </c>
      <c r="C118" s="35" t="s">
        <v>197</v>
      </c>
      <c r="D118" s="35">
        <v>1650200739</v>
      </c>
      <c r="E118" s="36">
        <v>100</v>
      </c>
      <c r="F118" s="37">
        <v>0</v>
      </c>
      <c r="G118" s="37">
        <f t="shared" si="5"/>
        <v>100</v>
      </c>
      <c r="H118" s="13">
        <f t="shared" si="3"/>
        <v>12</v>
      </c>
      <c r="I118" s="13">
        <v>88</v>
      </c>
    </row>
    <row r="119" spans="1:9" ht="16.5" customHeight="1" x14ac:dyDescent="0.3">
      <c r="A119" s="7">
        <f t="shared" si="4"/>
        <v>118</v>
      </c>
      <c r="B119" s="15" t="s">
        <v>208</v>
      </c>
      <c r="C119" s="9" t="s">
        <v>197</v>
      </c>
      <c r="D119" s="9" t="s">
        <v>209</v>
      </c>
      <c r="E119" s="10">
        <v>150</v>
      </c>
      <c r="F119" s="18">
        <v>300</v>
      </c>
      <c r="G119" s="12">
        <f t="shared" si="5"/>
        <v>450</v>
      </c>
      <c r="H119" s="13">
        <f t="shared" si="3"/>
        <v>58</v>
      </c>
      <c r="I119" s="13">
        <v>392</v>
      </c>
    </row>
    <row r="120" spans="1:9" ht="16.5" customHeight="1" x14ac:dyDescent="0.3">
      <c r="A120" s="7">
        <f t="shared" si="4"/>
        <v>119</v>
      </c>
      <c r="B120" s="27" t="s">
        <v>210</v>
      </c>
      <c r="C120" s="38" t="s">
        <v>197</v>
      </c>
      <c r="D120" s="41">
        <v>2871400201</v>
      </c>
      <c r="E120" s="24">
        <v>0</v>
      </c>
      <c r="F120" s="26">
        <v>90</v>
      </c>
      <c r="G120" s="26">
        <f t="shared" si="5"/>
        <v>90</v>
      </c>
      <c r="H120" s="13">
        <f t="shared" si="3"/>
        <v>50</v>
      </c>
      <c r="I120" s="13">
        <v>40</v>
      </c>
    </row>
    <row r="121" spans="1:9" ht="16.5" customHeight="1" x14ac:dyDescent="0.3">
      <c r="A121" s="7">
        <f t="shared" si="4"/>
        <v>120</v>
      </c>
      <c r="B121" s="15" t="s">
        <v>211</v>
      </c>
      <c r="C121" s="9" t="s">
        <v>212</v>
      </c>
      <c r="D121" s="44" t="s">
        <v>213</v>
      </c>
      <c r="E121" s="10">
        <v>500</v>
      </c>
      <c r="F121" s="18">
        <v>1100</v>
      </c>
      <c r="G121" s="12">
        <f t="shared" si="5"/>
        <v>1600</v>
      </c>
      <c r="H121" s="13">
        <f t="shared" si="3"/>
        <v>1100</v>
      </c>
      <c r="I121" s="13">
        <v>500</v>
      </c>
    </row>
    <row r="122" spans="1:9" ht="16.5" customHeight="1" x14ac:dyDescent="0.3">
      <c r="A122" s="7">
        <f t="shared" si="4"/>
        <v>121</v>
      </c>
      <c r="B122" s="16" t="s">
        <v>214</v>
      </c>
      <c r="C122" s="9" t="s">
        <v>215</v>
      </c>
      <c r="D122" s="9" t="s">
        <v>216</v>
      </c>
      <c r="E122" s="10">
        <v>25</v>
      </c>
      <c r="F122" s="18">
        <v>0</v>
      </c>
      <c r="G122" s="12">
        <f t="shared" si="5"/>
        <v>25</v>
      </c>
      <c r="H122" s="13">
        <f t="shared" si="3"/>
        <v>15</v>
      </c>
      <c r="I122" s="13">
        <v>10</v>
      </c>
    </row>
    <row r="123" spans="1:9" ht="16.5" customHeight="1" x14ac:dyDescent="0.3">
      <c r="A123" s="7">
        <f t="shared" si="4"/>
        <v>122</v>
      </c>
      <c r="B123" s="16" t="s">
        <v>217</v>
      </c>
      <c r="C123" s="9" t="s">
        <v>218</v>
      </c>
      <c r="D123" s="9" t="s">
        <v>219</v>
      </c>
      <c r="E123" s="10">
        <v>110</v>
      </c>
      <c r="F123" s="18">
        <v>60</v>
      </c>
      <c r="G123" s="12">
        <f t="shared" si="5"/>
        <v>170</v>
      </c>
      <c r="H123" s="13">
        <f t="shared" si="3"/>
        <v>22</v>
      </c>
      <c r="I123" s="13">
        <v>148</v>
      </c>
    </row>
    <row r="124" spans="1:9" ht="16.5" customHeight="1" x14ac:dyDescent="0.3">
      <c r="A124" s="7">
        <f t="shared" si="4"/>
        <v>123</v>
      </c>
      <c r="B124" s="16" t="s">
        <v>220</v>
      </c>
      <c r="C124" s="9" t="s">
        <v>221</v>
      </c>
      <c r="D124" s="9" t="s">
        <v>222</v>
      </c>
      <c r="E124" s="10">
        <v>100</v>
      </c>
      <c r="F124" s="18">
        <v>200</v>
      </c>
      <c r="G124" s="12">
        <f t="shared" si="5"/>
        <v>300</v>
      </c>
      <c r="H124" s="13">
        <f t="shared" si="3"/>
        <v>20</v>
      </c>
      <c r="I124" s="13">
        <v>280</v>
      </c>
    </row>
    <row r="125" spans="1:9" ht="16.5" customHeight="1" x14ac:dyDescent="0.3">
      <c r="A125" s="7">
        <f t="shared" si="4"/>
        <v>124</v>
      </c>
      <c r="B125" s="15" t="s">
        <v>223</v>
      </c>
      <c r="C125" s="9" t="s">
        <v>224</v>
      </c>
      <c r="D125" s="9" t="s">
        <v>225</v>
      </c>
      <c r="E125" s="10">
        <v>200</v>
      </c>
      <c r="F125" s="18">
        <v>420</v>
      </c>
      <c r="G125" s="12">
        <f t="shared" si="5"/>
        <v>620</v>
      </c>
      <c r="H125" s="13">
        <f t="shared" si="3"/>
        <v>40</v>
      </c>
      <c r="I125" s="13">
        <v>580</v>
      </c>
    </row>
    <row r="126" spans="1:9" ht="16.5" customHeight="1" x14ac:dyDescent="0.3">
      <c r="A126" s="7">
        <f t="shared" si="4"/>
        <v>125</v>
      </c>
      <c r="B126" s="21" t="s">
        <v>226</v>
      </c>
      <c r="C126" s="7"/>
      <c r="D126" s="45"/>
      <c r="E126" s="10">
        <v>200</v>
      </c>
      <c r="F126" s="18">
        <v>500</v>
      </c>
      <c r="G126" s="12">
        <f t="shared" si="5"/>
        <v>700</v>
      </c>
      <c r="H126" s="13">
        <f t="shared" si="3"/>
        <v>225</v>
      </c>
      <c r="I126" s="13">
        <v>475</v>
      </c>
    </row>
    <row r="127" spans="1:9" ht="16.5" customHeight="1" x14ac:dyDescent="0.3">
      <c r="A127" s="7">
        <f t="shared" si="4"/>
        <v>126</v>
      </c>
      <c r="B127" s="21" t="s">
        <v>227</v>
      </c>
      <c r="C127" s="7"/>
      <c r="D127" s="45"/>
      <c r="E127" s="10">
        <v>312</v>
      </c>
      <c r="F127" s="18">
        <v>0</v>
      </c>
      <c r="G127" s="12">
        <f t="shared" si="5"/>
        <v>312</v>
      </c>
      <c r="H127" s="13">
        <f t="shared" si="3"/>
        <v>231</v>
      </c>
      <c r="I127" s="13">
        <v>81</v>
      </c>
    </row>
    <row r="128" spans="1:9" ht="16.5" customHeight="1" x14ac:dyDescent="0.3">
      <c r="A128" s="7">
        <f t="shared" si="4"/>
        <v>127</v>
      </c>
      <c r="B128" s="27" t="s">
        <v>228</v>
      </c>
      <c r="C128" s="38" t="s">
        <v>212</v>
      </c>
      <c r="D128" s="24" t="s">
        <v>229</v>
      </c>
      <c r="E128" s="24">
        <v>0</v>
      </c>
      <c r="F128" s="26">
        <v>10000</v>
      </c>
      <c r="G128" s="26">
        <f t="shared" si="5"/>
        <v>10000</v>
      </c>
      <c r="H128" s="13">
        <f t="shared" si="3"/>
        <v>510</v>
      </c>
      <c r="I128" s="13">
        <v>9490</v>
      </c>
    </row>
    <row r="129" spans="1:9" x14ac:dyDescent="0.25">
      <c r="A129" s="7">
        <f t="shared" si="4"/>
        <v>128</v>
      </c>
      <c r="B129" s="46" t="s">
        <v>230</v>
      </c>
      <c r="C129" s="38" t="s">
        <v>212</v>
      </c>
      <c r="D129" s="24" t="s">
        <v>231</v>
      </c>
      <c r="E129" s="24">
        <v>0</v>
      </c>
      <c r="F129" s="47">
        <v>169</v>
      </c>
      <c r="G129" s="26">
        <f t="shared" si="5"/>
        <v>169</v>
      </c>
      <c r="H129" s="13">
        <f t="shared" si="3"/>
        <v>37</v>
      </c>
      <c r="I129" s="13">
        <v>132</v>
      </c>
    </row>
    <row r="130" spans="1:9" x14ac:dyDescent="0.3">
      <c r="A130" s="7">
        <f t="shared" si="4"/>
        <v>129</v>
      </c>
      <c r="B130" s="28" t="s">
        <v>232</v>
      </c>
      <c r="C130" s="38" t="s">
        <v>212</v>
      </c>
      <c r="D130" s="48" t="s">
        <v>233</v>
      </c>
      <c r="E130" s="24">
        <v>0</v>
      </c>
      <c r="F130" s="47">
        <v>200</v>
      </c>
      <c r="G130" s="26">
        <f t="shared" si="5"/>
        <v>200</v>
      </c>
      <c r="H130" s="13">
        <f t="shared" si="3"/>
        <v>35</v>
      </c>
      <c r="I130" s="13">
        <v>165</v>
      </c>
    </row>
    <row r="131" spans="1:9" x14ac:dyDescent="0.3">
      <c r="A131" s="7">
        <f t="shared" si="4"/>
        <v>130</v>
      </c>
      <c r="B131" s="28" t="s">
        <v>234</v>
      </c>
      <c r="C131" s="38" t="s">
        <v>212</v>
      </c>
      <c r="D131" s="48" t="s">
        <v>235</v>
      </c>
      <c r="E131" s="24">
        <v>0</v>
      </c>
      <c r="F131" s="47">
        <v>200</v>
      </c>
      <c r="G131" s="26">
        <f t="shared" si="5"/>
        <v>200</v>
      </c>
      <c r="H131" s="13">
        <f t="shared" si="3"/>
        <v>90</v>
      </c>
      <c r="I131" s="13">
        <v>110</v>
      </c>
    </row>
    <row r="132" spans="1:9" x14ac:dyDescent="0.3">
      <c r="A132" s="7">
        <f t="shared" ref="A132:A148" si="6">A131+1</f>
        <v>131</v>
      </c>
      <c r="B132" s="27" t="s">
        <v>236</v>
      </c>
      <c r="C132" s="38" t="s">
        <v>212</v>
      </c>
      <c r="D132" s="48" t="s">
        <v>237</v>
      </c>
      <c r="E132" s="24">
        <v>0</v>
      </c>
      <c r="F132" s="47">
        <v>100</v>
      </c>
      <c r="G132" s="26">
        <f t="shared" si="5"/>
        <v>100</v>
      </c>
      <c r="H132" s="13">
        <f t="shared" si="3"/>
        <v>0</v>
      </c>
      <c r="I132" s="13">
        <v>100</v>
      </c>
    </row>
    <row r="133" spans="1:9" x14ac:dyDescent="0.3">
      <c r="A133" s="7">
        <f t="shared" si="6"/>
        <v>132</v>
      </c>
      <c r="B133" s="27" t="s">
        <v>238</v>
      </c>
      <c r="C133" s="38" t="s">
        <v>212</v>
      </c>
      <c r="D133" s="48" t="s">
        <v>239</v>
      </c>
      <c r="E133" s="24">
        <v>0</v>
      </c>
      <c r="F133" s="47">
        <v>120</v>
      </c>
      <c r="G133" s="26">
        <f t="shared" si="5"/>
        <v>120</v>
      </c>
      <c r="H133" s="13">
        <f t="shared" ref="H133:H148" si="7">G133-I133</f>
        <v>41</v>
      </c>
      <c r="I133" s="13">
        <v>79</v>
      </c>
    </row>
    <row r="134" spans="1:9" x14ac:dyDescent="0.3">
      <c r="A134" s="7">
        <f t="shared" si="6"/>
        <v>133</v>
      </c>
      <c r="B134" s="27" t="s">
        <v>240</v>
      </c>
      <c r="C134" s="38" t="s">
        <v>212</v>
      </c>
      <c r="D134" s="48" t="s">
        <v>241</v>
      </c>
      <c r="E134" s="24">
        <v>0</v>
      </c>
      <c r="F134" s="47">
        <v>120</v>
      </c>
      <c r="G134" s="26">
        <f t="shared" si="5"/>
        <v>120</v>
      </c>
      <c r="H134" s="13">
        <f t="shared" si="7"/>
        <v>34</v>
      </c>
      <c r="I134" s="13">
        <v>86</v>
      </c>
    </row>
    <row r="135" spans="1:9" x14ac:dyDescent="0.3">
      <c r="A135" s="7">
        <f t="shared" si="6"/>
        <v>134</v>
      </c>
      <c r="B135" s="27" t="s">
        <v>242</v>
      </c>
      <c r="C135" s="38" t="s">
        <v>212</v>
      </c>
      <c r="D135" s="48" t="s">
        <v>243</v>
      </c>
      <c r="E135" s="24">
        <v>0</v>
      </c>
      <c r="F135" s="47">
        <v>300</v>
      </c>
      <c r="G135" s="26">
        <f t="shared" si="5"/>
        <v>300</v>
      </c>
      <c r="H135" s="13">
        <f t="shared" si="7"/>
        <v>70</v>
      </c>
      <c r="I135" s="13">
        <v>230</v>
      </c>
    </row>
    <row r="136" spans="1:9" x14ac:dyDescent="0.3">
      <c r="A136" s="7">
        <f t="shared" si="6"/>
        <v>135</v>
      </c>
      <c r="B136" s="27" t="s">
        <v>244</v>
      </c>
      <c r="C136" s="38" t="s">
        <v>212</v>
      </c>
      <c r="D136" s="48" t="s">
        <v>245</v>
      </c>
      <c r="E136" s="24">
        <v>0</v>
      </c>
      <c r="F136" s="47">
        <v>402</v>
      </c>
      <c r="G136" s="26">
        <f t="shared" si="5"/>
        <v>402</v>
      </c>
      <c r="H136" s="13">
        <f t="shared" si="7"/>
        <v>0</v>
      </c>
      <c r="I136" s="13">
        <v>402</v>
      </c>
    </row>
    <row r="137" spans="1:9" x14ac:dyDescent="0.3">
      <c r="A137" s="7">
        <f t="shared" si="6"/>
        <v>136</v>
      </c>
      <c r="B137" s="49" t="s">
        <v>246</v>
      </c>
      <c r="C137" s="38" t="s">
        <v>212</v>
      </c>
      <c r="D137" s="48" t="s">
        <v>247</v>
      </c>
      <c r="E137" s="24">
        <v>0</v>
      </c>
      <c r="F137" s="47">
        <v>200</v>
      </c>
      <c r="G137" s="26">
        <f t="shared" si="5"/>
        <v>200</v>
      </c>
      <c r="H137" s="13">
        <f t="shared" si="7"/>
        <v>100</v>
      </c>
      <c r="I137" s="13">
        <v>100</v>
      </c>
    </row>
    <row r="138" spans="1:9" x14ac:dyDescent="0.3">
      <c r="A138" s="7">
        <f t="shared" si="6"/>
        <v>137</v>
      </c>
      <c r="B138" s="50" t="s">
        <v>248</v>
      </c>
      <c r="C138" s="38" t="s">
        <v>212</v>
      </c>
      <c r="D138" s="48" t="s">
        <v>249</v>
      </c>
      <c r="E138" s="24">
        <v>0</v>
      </c>
      <c r="F138" s="47">
        <v>200</v>
      </c>
      <c r="G138" s="26">
        <f t="shared" si="5"/>
        <v>200</v>
      </c>
      <c r="H138" s="13">
        <f t="shared" si="7"/>
        <v>100</v>
      </c>
      <c r="I138" s="13">
        <v>100</v>
      </c>
    </row>
    <row r="139" spans="1:9" x14ac:dyDescent="0.3">
      <c r="A139" s="7">
        <f t="shared" si="6"/>
        <v>138</v>
      </c>
      <c r="B139" s="28" t="s">
        <v>250</v>
      </c>
      <c r="C139" s="38" t="s">
        <v>212</v>
      </c>
      <c r="D139" s="48" t="s">
        <v>251</v>
      </c>
      <c r="E139" s="24">
        <v>0</v>
      </c>
      <c r="F139" s="47">
        <v>54</v>
      </c>
      <c r="G139" s="26">
        <f t="shared" si="5"/>
        <v>54</v>
      </c>
      <c r="H139" s="13">
        <f t="shared" si="7"/>
        <v>3</v>
      </c>
      <c r="I139" s="13">
        <v>51</v>
      </c>
    </row>
    <row r="140" spans="1:9" x14ac:dyDescent="0.3">
      <c r="A140" s="7">
        <f t="shared" si="6"/>
        <v>139</v>
      </c>
      <c r="B140" s="27" t="s">
        <v>252</v>
      </c>
      <c r="C140" s="38" t="s">
        <v>212</v>
      </c>
      <c r="D140" s="48" t="s">
        <v>253</v>
      </c>
      <c r="E140" s="24">
        <v>0</v>
      </c>
      <c r="F140" s="47">
        <v>600</v>
      </c>
      <c r="G140" s="26">
        <f t="shared" si="5"/>
        <v>600</v>
      </c>
      <c r="H140" s="13">
        <f t="shared" si="7"/>
        <v>150</v>
      </c>
      <c r="I140" s="13">
        <v>450</v>
      </c>
    </row>
    <row r="141" spans="1:9" x14ac:dyDescent="0.3">
      <c r="A141" s="7">
        <f t="shared" si="6"/>
        <v>140</v>
      </c>
      <c r="B141" s="27" t="s">
        <v>254</v>
      </c>
      <c r="C141" s="38" t="s">
        <v>212</v>
      </c>
      <c r="D141" s="48" t="s">
        <v>255</v>
      </c>
      <c r="E141" s="24">
        <v>0</v>
      </c>
      <c r="F141" s="47">
        <v>360</v>
      </c>
      <c r="G141" s="26">
        <f t="shared" ref="G141:G148" si="8">E141+F141</f>
        <v>360</v>
      </c>
      <c r="H141" s="13">
        <f t="shared" si="7"/>
        <v>330</v>
      </c>
      <c r="I141" s="13">
        <v>30</v>
      </c>
    </row>
    <row r="142" spans="1:9" x14ac:dyDescent="0.3">
      <c r="A142" s="7">
        <f t="shared" si="6"/>
        <v>141</v>
      </c>
      <c r="B142" s="27" t="s">
        <v>256</v>
      </c>
      <c r="C142" s="38" t="s">
        <v>212</v>
      </c>
      <c r="D142" s="48" t="s">
        <v>257</v>
      </c>
      <c r="E142" s="24">
        <v>0</v>
      </c>
      <c r="F142" s="47">
        <v>360</v>
      </c>
      <c r="G142" s="26">
        <f t="shared" si="8"/>
        <v>360</v>
      </c>
      <c r="H142" s="13">
        <f t="shared" si="7"/>
        <v>330</v>
      </c>
      <c r="I142" s="13">
        <v>30</v>
      </c>
    </row>
    <row r="143" spans="1:9" x14ac:dyDescent="0.3">
      <c r="A143" s="7">
        <f t="shared" si="6"/>
        <v>142</v>
      </c>
      <c r="B143" s="27" t="s">
        <v>258</v>
      </c>
      <c r="C143" s="38" t="s">
        <v>212</v>
      </c>
      <c r="D143" s="48" t="s">
        <v>259</v>
      </c>
      <c r="E143" s="24">
        <v>0</v>
      </c>
      <c r="F143" s="47">
        <v>408</v>
      </c>
      <c r="G143" s="26">
        <f t="shared" si="8"/>
        <v>408</v>
      </c>
      <c r="H143" s="13">
        <f t="shared" si="7"/>
        <v>5</v>
      </c>
      <c r="I143" s="13">
        <v>403</v>
      </c>
    </row>
    <row r="144" spans="1:9" x14ac:dyDescent="0.3">
      <c r="A144" s="7">
        <f t="shared" si="6"/>
        <v>143</v>
      </c>
      <c r="B144" s="27" t="s">
        <v>260</v>
      </c>
      <c r="C144" s="38" t="s">
        <v>212</v>
      </c>
      <c r="D144" s="48" t="s">
        <v>261</v>
      </c>
      <c r="E144" s="24">
        <v>0</v>
      </c>
      <c r="F144" s="47">
        <v>408</v>
      </c>
      <c r="G144" s="26">
        <f t="shared" si="8"/>
        <v>408</v>
      </c>
      <c r="H144" s="13">
        <f t="shared" si="7"/>
        <v>29</v>
      </c>
      <c r="I144" s="13">
        <v>379</v>
      </c>
    </row>
    <row r="145" spans="1:9" x14ac:dyDescent="0.3">
      <c r="A145" s="7">
        <f t="shared" si="6"/>
        <v>144</v>
      </c>
      <c r="B145" s="27" t="s">
        <v>262</v>
      </c>
      <c r="C145" s="38" t="s">
        <v>212</v>
      </c>
      <c r="D145" s="48" t="s">
        <v>263</v>
      </c>
      <c r="E145" s="24">
        <v>0</v>
      </c>
      <c r="F145" s="47">
        <v>408</v>
      </c>
      <c r="G145" s="26">
        <f t="shared" si="8"/>
        <v>408</v>
      </c>
      <c r="H145" s="13">
        <f t="shared" si="7"/>
        <v>29</v>
      </c>
      <c r="I145" s="13">
        <v>379</v>
      </c>
    </row>
    <row r="146" spans="1:9" x14ac:dyDescent="0.3">
      <c r="A146" s="7">
        <f t="shared" si="6"/>
        <v>145</v>
      </c>
      <c r="B146" s="27" t="s">
        <v>264</v>
      </c>
      <c r="C146" s="38" t="s">
        <v>212</v>
      </c>
      <c r="D146" s="48" t="s">
        <v>265</v>
      </c>
      <c r="E146" s="24">
        <v>0</v>
      </c>
      <c r="F146" s="47">
        <v>104</v>
      </c>
      <c r="G146" s="26">
        <f t="shared" si="8"/>
        <v>104</v>
      </c>
      <c r="H146" s="13">
        <f t="shared" si="7"/>
        <v>19</v>
      </c>
      <c r="I146" s="13">
        <v>85</v>
      </c>
    </row>
    <row r="147" spans="1:9" x14ac:dyDescent="0.3">
      <c r="A147" s="7">
        <f t="shared" si="6"/>
        <v>146</v>
      </c>
      <c r="B147" s="28" t="s">
        <v>266</v>
      </c>
      <c r="C147" s="38" t="s">
        <v>215</v>
      </c>
      <c r="D147" s="38"/>
      <c r="E147" s="24">
        <v>0</v>
      </c>
      <c r="F147" s="26">
        <v>50</v>
      </c>
      <c r="G147" s="26">
        <f t="shared" si="8"/>
        <v>50</v>
      </c>
      <c r="H147" s="13">
        <f t="shared" si="7"/>
        <v>0</v>
      </c>
      <c r="I147" s="13">
        <v>50</v>
      </c>
    </row>
    <row r="148" spans="1:9" x14ac:dyDescent="0.3">
      <c r="A148" s="7">
        <f t="shared" si="6"/>
        <v>147</v>
      </c>
      <c r="B148" s="27" t="s">
        <v>267</v>
      </c>
      <c r="C148" s="38" t="s">
        <v>268</v>
      </c>
      <c r="D148" s="38"/>
      <c r="E148" s="24">
        <v>0</v>
      </c>
      <c r="F148" s="26">
        <v>130</v>
      </c>
      <c r="G148" s="26">
        <f t="shared" si="8"/>
        <v>130</v>
      </c>
      <c r="H148" s="13">
        <f t="shared" si="7"/>
        <v>130</v>
      </c>
      <c r="I148" s="13">
        <v>0</v>
      </c>
    </row>
  </sheetData>
  <conditionalFormatting sqref="D48">
    <cfRule type="duplicateValues" dxfId="7" priority="8"/>
  </conditionalFormatting>
  <conditionalFormatting sqref="D49">
    <cfRule type="duplicateValues" dxfId="6" priority="7"/>
  </conditionalFormatting>
  <conditionalFormatting sqref="D50">
    <cfRule type="duplicateValues" dxfId="5" priority="6"/>
  </conditionalFormatting>
  <conditionalFormatting sqref="D51">
    <cfRule type="duplicateValues" dxfId="4" priority="5"/>
  </conditionalFormatting>
  <conditionalFormatting sqref="D52:D55">
    <cfRule type="duplicateValues" dxfId="3" priority="4"/>
  </conditionalFormatting>
  <conditionalFormatting sqref="D56">
    <cfRule type="duplicateValues" dxfId="2" priority="3"/>
  </conditionalFormatting>
  <conditionalFormatting sqref="D57">
    <cfRule type="duplicateValues" dxfId="1" priority="2"/>
  </conditionalFormatting>
  <conditionalFormatting sqref="D58">
    <cfRule type="duplicateValues" dxfId="0" priority="1"/>
  </conditionalFormatting>
  <dataValidations count="1">
    <dataValidation type="custom" showInputMessage="1" showErrorMessage="1" errorTitle="Wrong Move" error="Please use CAPITAL letters to complete the entry" sqref="D50:D52 D58" xr:uid="{3F047FCA-8D5F-45F6-80B5-0A4424BB44F8}">
      <formula1>EXACT(D50,UPPER(D50))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DIWURA JOSEPHINE</dc:creator>
  <cp:lastModifiedBy>DIWURA JOSEPHINE</cp:lastModifiedBy>
  <dcterms:created xsi:type="dcterms:W3CDTF">2026-06-05T13:53:18Z</dcterms:created>
  <dcterms:modified xsi:type="dcterms:W3CDTF">2026-06-05T14:07:23Z</dcterms:modified>
</cp:coreProperties>
</file>